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Mode d'emploi" sheetId="1" state="visible" r:id="rId1"/>
    <sheet xmlns:r="http://schemas.openxmlformats.org/officeDocument/2006/relationships" name="Synthèse" sheetId="2" state="visible" r:id="rId2"/>
    <sheet xmlns:r="http://schemas.openxmlformats.org/officeDocument/2006/relationships" name="Empreinte" sheetId="3" state="visible" r:id="rId3"/>
    <sheet xmlns:r="http://schemas.openxmlformats.org/officeDocument/2006/relationships" name="Calcul" sheetId="4" state="visible" r:id="rId4"/>
    <sheet xmlns:r="http://schemas.openxmlformats.org/officeDocument/2006/relationships" name="Contrôles" sheetId="5" state="visible" r:id="rId5"/>
    <sheet xmlns:r="http://schemas.openxmlformats.org/officeDocument/2006/relationships" name="Méthodologie" sheetId="6" state="visible" r:id="rId6"/>
    <sheet xmlns:r="http://schemas.openxmlformats.org/officeDocument/2006/relationships" name="Données" sheetId="7" state="visible" r:id="rId7"/>
    <sheet xmlns:r="http://schemas.openxmlformats.org/officeDocument/2006/relationships" name="Interne" sheetId="8" state="visible" r:id="rId8"/>
    <sheet xmlns:r="http://schemas.openxmlformats.org/officeDocument/2006/relationships" name="Listes" sheetId="9" state="hidden" r:id="rId9"/>
  </sheets>
  <definedNames>
    <definedName name="L_MixNom">Listes!$A$2:$A$8</definedName>
    <definedName name="L_MixVal">Listes!$B$2:$B$8</definedName>
    <definedName name="L_MixSrc">Listes!$C$2:$C$8</definedName>
    <definedName name="D_Date">'Données'!$A:$A</definedName>
    <definedName name="D_Prod">'Données'!$C:$C</definedName>
    <definedName name="D_I">'Données'!$S:$S</definedName>
    <definedName name="D_O">'Données'!$T:$T</definedName>
    <definedName name="D_CR">'Données'!$U:$U</definedName>
    <definedName name="D_CW">'Données'!$V:$V</definedName>
    <definedName name="D_Mod">'Données'!$W:$W</definedName>
    <definedName name="D_Jour">'Données'!$X:$X</definedName>
    <definedName name="D_Cle">'Données'!$Y:$Y</definedName>
    <definedName name="D_Grp">'Données'!$AA:$AA</definedName>
    <definedName name="D_TO">'Données'!$AC:$AC</definedName>
    <definedName name="D_kWh">'Données'!$AD:$AD</definedName>
    <definedName name="D_CO2">'Données'!$AE:$AE</definedName>
    <definedName name="D_Brut">'Données'!$AF:$AF</definedName>
    <definedName name="D_An">'Données'!$AG:$AG</definedName>
    <definedName name="D_Mois">'Données'!$AH:$AH</definedName>
    <definedName name="D_C2">'Données'!$AI:$AI</definedName>
    <definedName name="D_C4F">'Données'!$AJ:$AJ</definedName>
    <definedName name="D_C4CW">'Données'!$AK:$AK</definedName>
    <definedName name="P_Source">Calcul!$C$6</definedName>
    <definedName name="P_MixNom">Calcul!$C$7</definedName>
    <definedName name="P_MixPerso">Calcul!$C$8</definedName>
    <definedName name="P_Mix">Calcul!$C$9</definedName>
    <definedName name="P_Fab">Calcul!$C$10</definedName>
    <definedName name="P_Lo">Calcul!$C$11</definedName>
    <definedName name="P_Hi">Calcul!$C$12</definedName>
    <definedName name="P_N">Calcul!$C$13</definedName>
    <definedName name="P_Adj">Calcul!$C$14</definedName>
    <definedName name="M_Nom">Calcul!$B$30:$B$118</definedName>
    <definedName name="M_Fam">Calcul!$C$30:$C$118</definedName>
    <definedName name="M_Force">Calcul!$D$30:$D$118</definedName>
    <definedName name="M_Conv">Calcul!$E$30:$E$118</definedName>
    <definedName name="M_Orig">Calcul!$F$30:$F$118</definedName>
    <definedName name="M_Delta">Calcul!$G$30:$G$118</definedName>
    <definedName name="M_Eps">Calcul!$H$30:$H$118</definedName>
    <definedName name="M_PI">Calcul!$I$30:$I$118</definedName>
    <definedName name="M_PCR">Calcul!$J$30:$J$118</definedName>
    <definedName name="M_PCW">Calcul!$K$30:$K$118</definedName>
    <definedName name="M_PO">Calcul!$L$30:$L$118</definedName>
    <definedName name="M_Avant">Calcul!$M$30:$M$118</definedName>
    <definedName name="M_sI">Calcul!$N$30:$N$118</definedName>
    <definedName name="M_sCR">Calcul!$O$30:$O$118</definedName>
    <definedName name="M_sCW">Calcul!$P$30:$P$118</definedName>
    <definedName name="M_Scen">Calcul!$Q$30:$Q$118</definedName>
    <definedName name="M_eO">Calcul!$R$30:$R$118</definedName>
    <definedName name="M_PUE">Calcul!$S$30:$S$118</definedName>
    <definedName name="M_Fab">Calcul!$T$30:$T$118</definedName>
    <definedName name="M_FET">Calcul!$U$30:$U$118</definedName>
    <definedName name="M_Stat">Calcul!$V$30:$V$118</definedName>
    <definedName name="M_FEF">Calcul!$W$30:$W$118</definedName>
    <definedName name="M_FEC">Calcul!$X$30:$X$118</definedName>
    <definedName name="M_FE">Calcul!$Y$30:$Y$118</definedName>
    <definedName name="M_Src">Calcul!$Z$30:$Z$118</definedName>
    <definedName name="F_Fam">Calcul!$G$7:$G$14</definedName>
    <definedName name="F_Conv">Calcul!$H$7:$H$14</definedName>
    <definedName name="S_Has">Interne!$C$4</definedName>
    <definedName name="S_Last">Interne!$C$5</definedName>
    <definedName name="S_First">Interne!$C$6</definedName>
    <definedName name="S_Cur">Interne!$C$7</definedName>
    <definedName name="S_Rate">Interne!$C$8</definedName>
    <definedName name="S_YTD">Interne!$C$9</definedName>
    <definedName name="S_Rest">Interne!$C$10</definedName>
    <definedName name="S_Land">Interne!$C$11</definedName>
    <definedName name="S_Cut">Interne!$C$12</definedName>
    <definedName name="S_CurSame">Interne!$C$13</definedName>
    <definedName name="S_PrevSame">Interne!$C$14</definedName>
    <definedName name="S_LCM">Interne!$C$15</definedName>
    <definedName name="S_LCMv">Interne!$C$16</definedName>
    <definedName name="S_LCMp">Interne!$C$17</definedName>
    <definedName name="S_PrevTot">Interne!$C$18</definedName>
    <definedName name="S_TO">Interne!$C$19</definedName>
    <definedName name="S_kWh">Interne!$C$20</definedName>
    <definedName name="S_Brut">Interne!$C$21</definedName>
    <definedName name="S_Lines">Interne!$C$22</definedName>
    <definedName name="I_Nom">Interne!$B$30:$B$118</definedName>
    <definedName name="I_CO2">Interne!$C$30:$C$118</definedName>
    <definedName name="I_kWh">Interne!$D$30:$D$118</definedName>
    <definedName name="I_TO">Interne!$E$30:$E$118</definedName>
    <definedName name="I_Brut">Interne!$F$30:$F$118</definedName>
    <definedName name="I_Key">Interne!$G$30:$G$118</definedName>
    <definedName name="I_Top">Interne!$K$4:$K$11</definedName>
    <definedName name="K_FamNom">Contrôles!$B$17:$B$24</definedName>
    <definedName name="K_FamDec">Contrôles!$J$17:$J$24</definedName>
    <definedName name="K_Fam">'Contrôles'!$C$62:$C$150</definedName>
    <definedName name="K_BrutP">'Contrôles'!$I$62:$I$150</definedName>
    <definedName name="K_Ci">'Contrôles'!$K$62:$K$150</definedName>
    <definedName name="K_Cm">'Contrôles'!$L$62:$L$150</definedName>
    <definedName name="K_Ce">'Contrôles'!$M$62:$M$150</definedName>
    <definedName name="K_Cr">'Contrôles'!$R$62:$R$150</definedName>
    <definedName name="L_Mois">Listes!$I$2:$I$13</definedName>
    <definedName name="S_An">Synthèse!$C$6</definedName>
  </definedNames>
  <calcPr calcId="124519" fullCalcOnLoad="1"/>
</workbook>
</file>

<file path=xl/styles.xml><?xml version="1.0" encoding="utf-8"?>
<styleSheet xmlns="http://schemas.openxmlformats.org/spreadsheetml/2006/main">
  <numFmts count="14">
    <numFmt numFmtId="164" formatCode="dd/mm/yyyy"/>
    <numFmt numFmtId="165" formatCode="0.0000"/>
    <numFmt numFmtId="166" formatCode="0.0"/>
    <numFmt numFmtId="167" formatCode="+0.0%;-0.0%;0.0%"/>
    <numFmt numFmtId="168" formatCode="0.000"/>
    <numFmt numFmtId="169" formatCode="yyyy-mm-dd h:mm:ss"/>
    <numFmt numFmtId="170" formatCode="0.000000"/>
    <numFmt numFmtId="171" formatCode="#,##0.00&quot; $&quot;"/>
    <numFmt numFmtId="172" formatCode="[&gt;=1000]#,##0.00,&quot; t&quot;;#,##0.0&quot; kg&quot;"/>
    <numFmt numFmtId="173" formatCode="[&gt;=1000000000]#,##0.0,,,&quot; Mds&quot;;[&gt;=1000000]#,##0.0,,&quot; M&quot;;#,##0.0,&quot; k&quot;"/>
    <numFmt numFmtId="174" formatCode="#,##0.0"/>
    <numFmt numFmtId="175" formatCode="[&gt;=1000]#,##0.0,&quot; MWh&quot;;#,##0.0&quot; kWh&quot;"/>
    <numFmt numFmtId="176" formatCode="0.0%"/>
    <numFmt numFmtId="177" formatCode="#,##0&quot; $&quot;"/>
  </numFmts>
  <fonts count="24">
    <font>
      <name val="Calibri"/>
      <family val="2"/>
      <color theme="1"/>
      <sz val="11"/>
      <scheme val="minor"/>
    </font>
    <font>
      <name val="Arial"/>
      <b val="1"/>
      <color rgb="0014161C"/>
      <sz val="9"/>
    </font>
    <font>
      <name val="Arial"/>
      <color rgb="00737885"/>
      <sz val="9"/>
    </font>
    <font>
      <name val="Arial"/>
      <b val="1"/>
      <color rgb="0000008F"/>
      <sz val="9"/>
    </font>
    <font>
      <name val="Arial"/>
      <color rgb="0014161C"/>
      <sz val="9"/>
    </font>
    <font>
      <name val="Arial"/>
      <color rgb="0000008F"/>
      <sz val="9"/>
    </font>
    <font>
      <name val="Arial"/>
      <b val="1"/>
      <color rgb="0014161C"/>
      <sz val="18"/>
    </font>
    <font>
      <name val="Arial"/>
      <color rgb="00737885"/>
      <sz val="10"/>
    </font>
    <font>
      <name val="Arial"/>
      <b val="1"/>
      <color rgb="0014161C"/>
      <sz val="12"/>
    </font>
    <font>
      <name val="Arial"/>
      <color rgb="0014161C"/>
      <sz val="10"/>
    </font>
    <font>
      <name val="Arial"/>
      <b val="1"/>
      <color rgb="000000FF"/>
      <sz val="10"/>
    </font>
    <font>
      <name val="Arial"/>
      <b val="1"/>
      <color rgb="0014161C"/>
      <sz val="10"/>
    </font>
    <font>
      <name val="Consolas"/>
      <color rgb="0014161C"/>
      <sz val="10"/>
    </font>
    <font>
      <name val="Arial"/>
      <b val="1"/>
      <color rgb="004A4F5C"/>
      <sz val="9"/>
    </font>
    <font>
      <name val="Arial"/>
      <color rgb="000000FF"/>
      <sz val="10"/>
    </font>
    <font>
      <name val="Arial"/>
      <b val="1"/>
      <color rgb="0000008F"/>
      <sz val="10"/>
    </font>
    <font>
      <name val="Arial"/>
      <color rgb="00C9CCD4"/>
      <sz val="8"/>
    </font>
    <font>
      <name val="Arial"/>
      <b val="1"/>
      <color rgb="0014161C"/>
      <sz val="20"/>
    </font>
    <font>
      <name val="Arial"/>
      <b val="1"/>
      <color rgb="004A4F5C"/>
      <sz val="10"/>
    </font>
    <font>
      <name val="Arial"/>
      <b val="1"/>
      <color rgb="0000008F"/>
      <sz val="22"/>
    </font>
    <font>
      <name val="Arial"/>
      <b val="1"/>
      <color rgb="0000008F"/>
      <sz val="18"/>
    </font>
    <font>
      <name val="Arial"/>
      <b val="1"/>
      <color rgb="0014161C"/>
      <sz val="11"/>
    </font>
    <font>
      <name val="Arial"/>
      <b val="1"/>
      <color rgb="0000008F"/>
      <sz val="14"/>
    </font>
    <font>
      <name val="Consolas"/>
      <color rgb="004A4F5C"/>
      <sz val="9"/>
    </font>
  </fonts>
  <fills count="6">
    <fill>
      <patternFill/>
    </fill>
    <fill>
      <patternFill patternType="gray125"/>
    </fill>
    <fill>
      <patternFill patternType="solid">
        <fgColor rgb="00EEF0FB"/>
      </patternFill>
    </fill>
    <fill>
      <patternFill patternType="solid">
        <fgColor rgb="00FFF4CC"/>
      </patternFill>
    </fill>
    <fill>
      <patternFill patternType="solid">
        <fgColor rgb="00EEF0F3"/>
      </patternFill>
    </fill>
    <fill>
      <patternFill patternType="solid">
        <fgColor rgb="00F5F6F8"/>
      </patternFill>
    </fill>
  </fills>
  <borders count="12">
    <border>
      <left/>
      <right/>
      <top/>
      <bottom/>
      <diagonal/>
    </border>
    <border>
      <bottom style="thin">
        <color rgb="00E6E8ED"/>
      </bottom>
    </border>
    <border>
      <bottom style="hair">
        <color rgb="00E6E8ED"/>
      </bottom>
    </border>
    <border>
      <top style="thin">
        <color rgb="004A4F5C"/>
      </top>
    </border>
    <border>
      <left style="thin">
        <color rgb="00E6E8ED"/>
      </left>
      <top style="thin">
        <color rgb="00E6E8ED"/>
      </top>
    </border>
    <border>
      <top style="thin">
        <color rgb="00E6E8ED"/>
      </top>
    </border>
    <border>
      <right style="thin">
        <color rgb="00E6E8ED"/>
      </right>
      <top style="thin">
        <color rgb="00E6E8ED"/>
      </top>
    </border>
    <border>
      <left style="thin">
        <color rgb="00E6E8ED"/>
      </left>
    </border>
    <border/>
    <border>
      <right style="thin">
        <color rgb="00E6E8ED"/>
      </right>
    </border>
    <border>
      <left style="thin">
        <color rgb="00E6E8ED"/>
      </left>
      <bottom style="thin">
        <color rgb="00E6E8ED"/>
      </bottom>
    </border>
    <border>
      <right style="thin">
        <color rgb="00E6E8ED"/>
      </right>
      <bottom style="thin">
        <color rgb="00E6E8ED"/>
      </bottom>
    </border>
  </borders>
  <cellStyleXfs count="1">
    <xf numFmtId="0" fontId="0" fillId="0" borderId="0"/>
  </cellStyleXfs>
  <cellXfs count="108">
    <xf numFmtId="0" fontId="0" fillId="0" borderId="0" pivotButton="0" quotePrefix="0" xfId="0"/>
    <xf numFmtId="0" fontId="6" fillId="0" borderId="0" pivotButton="0" quotePrefix="0" xfId="0"/>
    <xf numFmtId="0" fontId="7" fillId="0" borderId="0" pivotButton="0" quotePrefix="0" xfId="0"/>
    <xf numFmtId="0" fontId="22" fillId="0" borderId="0" pivotButton="0" quotePrefix="0" xfId="0"/>
    <xf numFmtId="0" fontId="9" fillId="0" borderId="0" applyAlignment="1" pivotButton="0" quotePrefix="0" xfId="0">
      <alignment vertical="top" wrapText="1"/>
    </xf>
    <xf numFmtId="0" fontId="8" fillId="0" borderId="0" pivotButton="0" quotePrefix="0" xfId="0"/>
    <xf numFmtId="0" fontId="0" fillId="3" borderId="0" pivotButton="0" quotePrefix="0" xfId="0"/>
    <xf numFmtId="0" fontId="9" fillId="0" borderId="0" pivotButton="0" quotePrefix="0" xfId="0"/>
    <xf numFmtId="0" fontId="0" fillId="2" borderId="0" pivotButton="0" quotePrefix="0" xfId="0"/>
    <xf numFmtId="0" fontId="23" fillId="0" borderId="0" pivotButton="0" quotePrefix="0" xfId="0"/>
    <xf numFmtId="0" fontId="17" fillId="0" borderId="0" pivotButton="0" quotePrefix="0" xfId="0"/>
    <xf numFmtId="0" fontId="18" fillId="0" borderId="0" pivotButton="0" quotePrefix="0" xfId="0"/>
    <xf numFmtId="0" fontId="11" fillId="0" borderId="0" pivotButton="0" quotePrefix="0" xfId="0"/>
    <xf numFmtId="1" fontId="10" fillId="3" borderId="0" applyAlignment="1" pivotButton="0" quotePrefix="0" xfId="0">
      <alignment horizontal="center"/>
    </xf>
    <xf numFmtId="0" fontId="2" fillId="0" borderId="0" applyAlignment="1" pivotButton="0" quotePrefix="0" xfId="0">
      <alignment vertical="top"/>
    </xf>
    <xf numFmtId="0" fontId="13" fillId="5" borderId="4" applyAlignment="1" pivotButton="0" quotePrefix="0" xfId="0">
      <alignment vertical="bottom" indent="1"/>
    </xf>
    <xf numFmtId="0" fontId="0" fillId="5" borderId="5" pivotButton="0" quotePrefix="0" xfId="0"/>
    <xf numFmtId="0" fontId="0" fillId="5" borderId="6" pivotButton="0" quotePrefix="0" xfId="0"/>
    <xf numFmtId="172" fontId="19" fillId="5" borderId="7" applyAlignment="1" pivotButton="0" quotePrefix="0" xfId="0">
      <alignment horizontal="left" vertical="center" indent="1"/>
    </xf>
    <xf numFmtId="0" fontId="0" fillId="5" borderId="8" pivotButton="0" quotePrefix="0" xfId="0"/>
    <xf numFmtId="0" fontId="0" fillId="5" borderId="9" pivotButton="0" quotePrefix="0" xfId="0"/>
    <xf numFmtId="173" fontId="19" fillId="5" borderId="7" applyAlignment="1" pivotButton="0" quotePrefix="0" xfId="0">
      <alignment horizontal="left" vertical="center" indent="1"/>
    </xf>
    <xf numFmtId="177" fontId="19" fillId="5" borderId="7" applyAlignment="1" pivotButton="0" quotePrefix="0" xfId="0">
      <alignment horizontal="left" vertical="center" indent="1"/>
    </xf>
    <xf numFmtId="0" fontId="2" fillId="5" borderId="10" applyAlignment="1" pivotButton="0" quotePrefix="0" xfId="0">
      <alignment vertical="top" wrapText="1" indent="1"/>
    </xf>
    <xf numFmtId="0" fontId="0" fillId="5" borderId="1" pivotButton="0" quotePrefix="0" xfId="0"/>
    <xf numFmtId="0" fontId="0" fillId="5" borderId="11" pivotButton="0" quotePrefix="0" xfId="0"/>
    <xf numFmtId="0" fontId="8" fillId="0" borderId="1" pivotButton="0" quotePrefix="0" xfId="0"/>
    <xf numFmtId="0" fontId="0" fillId="0" borderId="1" pivotButton="0" quotePrefix="0" xfId="0"/>
    <xf numFmtId="167" fontId="20" fillId="5" borderId="7" applyAlignment="1" pivotButton="0" quotePrefix="0" xfId="0">
      <alignment horizontal="left" vertical="center" indent="1"/>
    </xf>
    <xf numFmtId="0" fontId="13" fillId="4" borderId="1" applyAlignment="1" pivotButton="0" quotePrefix="0" xfId="0">
      <alignment horizontal="center"/>
    </xf>
    <xf numFmtId="0" fontId="13" fillId="4" borderId="1" applyAlignment="1" pivotButton="0" quotePrefix="0" xfId="0">
      <alignment horizontal="left"/>
    </xf>
    <xf numFmtId="0" fontId="0" fillId="4" borderId="1" pivotButton="0" quotePrefix="0" xfId="0"/>
    <xf numFmtId="0" fontId="13" fillId="4" borderId="1" applyAlignment="1" pivotButton="0" quotePrefix="0" xfId="0">
      <alignment horizontal="right"/>
    </xf>
    <xf numFmtId="1" fontId="7" fillId="0" borderId="2" applyAlignment="1" pivotButton="0" quotePrefix="0" xfId="0">
      <alignment horizontal="center"/>
    </xf>
    <xf numFmtId="0" fontId="9" fillId="0" borderId="2" pivotButton="0" quotePrefix="0" xfId="0"/>
    <xf numFmtId="0" fontId="0" fillId="0" borderId="2" pivotButton="0" quotePrefix="0" xfId="0"/>
    <xf numFmtId="174" fontId="15" fillId="0" borderId="2" applyAlignment="1" pivotButton="0" quotePrefix="0" xfId="0">
      <alignment horizontal="right"/>
    </xf>
    <xf numFmtId="176" fontId="9" fillId="0" borderId="2" applyAlignment="1" pivotButton="0" quotePrefix="0" xfId="0">
      <alignment horizontal="right"/>
    </xf>
    <xf numFmtId="0" fontId="7" fillId="0" borderId="2" applyAlignment="1" pivotButton="0" quotePrefix="0" xfId="0">
      <alignment indent="1"/>
    </xf>
    <xf numFmtId="0" fontId="13" fillId="4" borderId="1" applyAlignment="1" pivotButton="0" quotePrefix="0" xfId="0">
      <alignment horizontal="left" vertical="center" wrapText="1"/>
    </xf>
    <xf numFmtId="0" fontId="13" fillId="4" borderId="1" applyAlignment="1" pivotButton="0" quotePrefix="0" xfId="0">
      <alignment horizontal="right" vertical="center" wrapText="1"/>
    </xf>
    <xf numFmtId="174" fontId="9" fillId="0" borderId="0" pivotButton="0" quotePrefix="0" xfId="0"/>
    <xf numFmtId="174" fontId="7" fillId="0" borderId="0" pivotButton="0" quotePrefix="0" xfId="0"/>
    <xf numFmtId="174" fontId="11" fillId="0" borderId="0" pivotButton="0" quotePrefix="0" xfId="0"/>
    <xf numFmtId="175" fontId="9" fillId="0" borderId="0" pivotButton="0" quotePrefix="0" xfId="0"/>
    <xf numFmtId="173" fontId="9" fillId="0" borderId="0" pivotButton="0" quotePrefix="0" xfId="0"/>
    <xf numFmtId="171" fontId="9" fillId="0" borderId="0" pivotButton="0" quotePrefix="0" xfId="0"/>
    <xf numFmtId="0" fontId="11" fillId="0" borderId="3" pivotButton="0" quotePrefix="0" xfId="0"/>
    <xf numFmtId="174" fontId="11" fillId="0" borderId="3" pivotButton="0" quotePrefix="0" xfId="0"/>
    <xf numFmtId="0" fontId="0" fillId="0" borderId="3" pivotButton="0" quotePrefix="0" xfId="0"/>
    <xf numFmtId="175" fontId="11" fillId="0" borderId="3" pivotButton="0" quotePrefix="0" xfId="0"/>
    <xf numFmtId="173" fontId="11" fillId="0" borderId="3" pivotButton="0" quotePrefix="0" xfId="0"/>
    <xf numFmtId="171" fontId="11" fillId="0" borderId="3" pivotButton="0" quotePrefix="0" xfId="0"/>
    <xf numFmtId="0" fontId="13" fillId="4" borderId="0" pivotButton="0" quotePrefix="0" xfId="0"/>
    <xf numFmtId="0" fontId="13" fillId="4" borderId="0" applyAlignment="1" pivotButton="0" quotePrefix="0" xfId="0">
      <alignment horizontal="right" vertical="center" wrapText="1"/>
    </xf>
    <xf numFmtId="0" fontId="13" fillId="4" borderId="0" applyAlignment="1" pivotButton="0" quotePrefix="0" xfId="0">
      <alignment horizontal="right" vertical="center"/>
    </xf>
    <xf numFmtId="1" fontId="7" fillId="0" borderId="0" pivotButton="0" quotePrefix="0" xfId="0"/>
    <xf numFmtId="176" fontId="9" fillId="0" borderId="0" pivotButton="0" quotePrefix="0" xfId="0"/>
    <xf numFmtId="11" fontId="9" fillId="0" borderId="0" pivotButton="0" quotePrefix="0" xfId="0"/>
    <xf numFmtId="1" fontId="16" fillId="0" borderId="0" pivotButton="0" quotePrefix="0" xfId="0"/>
    <xf numFmtId="0" fontId="10" fillId="3" borderId="0" applyAlignment="1" pivotButton="0" quotePrefix="0" xfId="0">
      <alignment horizontal="right"/>
    </xf>
    <xf numFmtId="0" fontId="10" fillId="3" borderId="0" applyAlignment="1" pivotButton="0" quotePrefix="0" xfId="0">
      <alignment horizontal="left"/>
    </xf>
    <xf numFmtId="166" fontId="10" fillId="3" borderId="0" applyAlignment="1" pivotButton="0" quotePrefix="0" xfId="0">
      <alignment horizontal="right"/>
    </xf>
    <xf numFmtId="166" fontId="11" fillId="0" borderId="0" applyAlignment="1" pivotButton="0" quotePrefix="0" xfId="0">
      <alignment horizontal="right"/>
    </xf>
    <xf numFmtId="0" fontId="2" fillId="0" borderId="0" pivotButton="0" quotePrefix="0" xfId="0"/>
    <xf numFmtId="2" fontId="10" fillId="3" borderId="0" applyAlignment="1" pivotButton="0" quotePrefix="0" xfId="0">
      <alignment horizontal="right"/>
    </xf>
    <xf numFmtId="1" fontId="10" fillId="3" borderId="0" applyAlignment="1" pivotButton="0" quotePrefix="0" xfId="0">
      <alignment horizontal="right"/>
    </xf>
    <xf numFmtId="167" fontId="10" fillId="3" borderId="0" applyAlignment="1" pivotButton="0" quotePrefix="0" xfId="0">
      <alignment horizontal="right"/>
    </xf>
    <xf numFmtId="0" fontId="12" fillId="0" borderId="0" pivotButton="0" quotePrefix="0" xfId="0"/>
    <xf numFmtId="0" fontId="14" fillId="3" borderId="2" pivotButton="0" quotePrefix="0" xfId="0"/>
    <xf numFmtId="0" fontId="7" fillId="0" borderId="2" pivotButton="0" quotePrefix="0" xfId="0"/>
    <xf numFmtId="1" fontId="9" fillId="0" borderId="2" pivotButton="0" quotePrefix="0" xfId="0"/>
    <xf numFmtId="168" fontId="10" fillId="3" borderId="2" applyAlignment="1" pivotButton="0" quotePrefix="0" xfId="0">
      <alignment horizontal="right"/>
    </xf>
    <xf numFmtId="0" fontId="9" fillId="3" borderId="2" pivotButton="0" quotePrefix="0" xfId="0"/>
    <xf numFmtId="168" fontId="9" fillId="0" borderId="2" pivotButton="0" quotePrefix="0" xfId="0"/>
    <xf numFmtId="11" fontId="10" fillId="3" borderId="2" applyAlignment="1" pivotButton="0" quotePrefix="0" xfId="0">
      <alignment horizontal="right"/>
    </xf>
    <xf numFmtId="2" fontId="10" fillId="3" borderId="2" applyAlignment="1" pivotButton="0" quotePrefix="0" xfId="0">
      <alignment horizontal="right"/>
    </xf>
    <xf numFmtId="0" fontId="10" fillId="3" borderId="2" applyAlignment="1" pivotButton="0" quotePrefix="0" xfId="0">
      <alignment horizontal="right"/>
    </xf>
    <xf numFmtId="11" fontId="14" fillId="3" borderId="2" pivotButton="0" quotePrefix="0" xfId="0"/>
    <xf numFmtId="11" fontId="9" fillId="0" borderId="2" pivotButton="0" quotePrefix="0" xfId="0"/>
    <xf numFmtId="11" fontId="15" fillId="0" borderId="2" pivotButton="0" quotePrefix="0" xfId="0"/>
    <xf numFmtId="164" fontId="10" fillId="3" borderId="2" applyAlignment="1" pivotButton="0" quotePrefix="0" xfId="0">
      <alignment horizontal="right"/>
    </xf>
    <xf numFmtId="3" fontId="9" fillId="0" borderId="0" applyAlignment="1" pivotButton="0" quotePrefix="0" xfId="0">
      <alignment horizontal="right"/>
    </xf>
    <xf numFmtId="164" fontId="9" fillId="0" borderId="0" applyAlignment="1" pivotButton="0" quotePrefix="0" xfId="0">
      <alignment horizontal="right"/>
    </xf>
    <xf numFmtId="168" fontId="9" fillId="0" borderId="0" pivotButton="0" quotePrefix="0" xfId="0"/>
    <xf numFmtId="3" fontId="9" fillId="0" borderId="0" pivotButton="0" quotePrefix="0" xfId="0"/>
    <xf numFmtId="168" fontId="11" fillId="0" borderId="0" pivotButton="0" quotePrefix="0" xfId="0"/>
    <xf numFmtId="172" fontId="9" fillId="0" borderId="0" pivotButton="0" quotePrefix="0" xfId="0"/>
    <xf numFmtId="167" fontId="9" fillId="0" borderId="0" pivotButton="0" quotePrefix="0" xfId="0"/>
    <xf numFmtId="0" fontId="4" fillId="0" borderId="0" pivotButton="0" quotePrefix="0" xfId="0"/>
    <xf numFmtId="3" fontId="4" fillId="0" borderId="0" pivotButton="0" quotePrefix="0" xfId="0"/>
    <xf numFmtId="173" fontId="4" fillId="0" borderId="0" pivotButton="0" quotePrefix="0" xfId="0"/>
    <xf numFmtId="171" fontId="4" fillId="0" borderId="0" pivotButton="0" quotePrefix="0" xfId="0"/>
    <xf numFmtId="168" fontId="4" fillId="0" borderId="0" pivotButton="0" quotePrefix="0" xfId="0"/>
    <xf numFmtId="0" fontId="21" fillId="0" borderId="0" pivotButton="0" quotePrefix="0" xfId="0"/>
    <xf numFmtId="0" fontId="1" fillId="0" borderId="0" pivotButton="0" quotePrefix="0" xfId="0"/>
    <xf numFmtId="0" fontId="3" fillId="2" borderId="0" pivotButton="0" quotePrefix="0" xfId="0"/>
    <xf numFmtId="164" fontId="4" fillId="0" borderId="0" pivotButton="0" quotePrefix="0" xfId="0"/>
    <xf numFmtId="0" fontId="5" fillId="0" borderId="0" pivotButton="0" quotePrefix="0" xfId="0"/>
    <xf numFmtId="164" fontId="5" fillId="0" borderId="0" pivotButton="0" quotePrefix="0" xfId="0"/>
    <xf numFmtId="1" fontId="5" fillId="0" borderId="0" pivotButton="0" quotePrefix="0" xfId="0"/>
    <xf numFmtId="3" fontId="5" fillId="0" borderId="0" pivotButton="0" quotePrefix="0" xfId="0"/>
    <xf numFmtId="165" fontId="5" fillId="0" borderId="0" pivotButton="0" quotePrefix="0" xfId="0"/>
    <xf numFmtId="2" fontId="5" fillId="0" borderId="0" pivotButton="0" quotePrefix="0" xfId="0"/>
    <xf numFmtId="1" fontId="4" fillId="0" borderId="0" pivotButton="0" quotePrefix="0" xfId="0"/>
    <xf numFmtId="2" fontId="4" fillId="0" borderId="0" pivotButton="0" quotePrefix="0" xfId="0"/>
    <xf numFmtId="0" fontId="4" fillId="0" borderId="0" applyAlignment="1" pivotButton="0" quotePrefix="0" xfId="0">
      <alignment vertical="top"/>
    </xf>
    <xf numFmtId="170" fontId="4" fillId="0" borderId="0" pivotButton="0" quotePrefix="0" xfId="0"/>
  </cellXfs>
  <cellStyles count="1">
    <cellStyle name="Normal" xfId="0" builtinId="0" hidden="0"/>
  </cellStyles>
  <dxfs count="1">
    <dxf>
      <font>
        <b val="1"/>
        <color rgb="0000008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plotArea>
      <barChart>
        <barDir val="col"/>
        <grouping val="stacked"/>
        <ser>
          <idx val="0"/>
          <order val="0"/>
          <tx>
            <strRef>
              <f>'Empreinte'!C6</f>
            </strRef>
          </tx>
          <spPr>
            <a:solidFill xmlns:a="http://schemas.openxmlformats.org/drawingml/2006/main">
              <a:srgbClr val="00008F"/>
            </a:solidFill>
            <a:ln xmlns:a="http://schemas.openxmlformats.org/drawingml/2006/main" w="6350">
              <a:solidFill>
                <a:srgbClr val="FFFFFF"/>
              </a:solidFill>
              <a:prstDash val="solid"/>
            </a:ln>
          </spPr>
          <cat>
            <numRef>
              <f>'Empreinte'!$B$7:$B$18</f>
            </numRef>
          </cat>
          <val>
            <numRef>
              <f>'Empreinte'!$C$7:$C$18</f>
            </numRef>
          </val>
        </ser>
        <ser>
          <idx val="1"/>
          <order val="1"/>
          <tx>
            <strRef>
              <f>'Empreinte'!D6</f>
            </strRef>
          </tx>
          <spPr>
            <a:solidFill xmlns:a="http://schemas.openxmlformats.org/drawingml/2006/main">
              <a:srgbClr val="B9BCEB"/>
            </a:solidFill>
            <a:ln xmlns:a="http://schemas.openxmlformats.org/drawingml/2006/main" w="6350">
              <a:solidFill>
                <a:srgbClr val="FFFFFF"/>
              </a:solidFill>
              <a:prstDash val="solid"/>
            </a:ln>
          </spPr>
          <cat>
            <numRef>
              <f>'Empreinte'!$B$7:$B$18</f>
            </numRef>
          </cat>
          <val>
            <numRef>
              <f>'Empreinte'!$D$7:$D$18</f>
            </numRef>
          </val>
        </ser>
        <gapWidth val="35"/>
        <overlap val="100"/>
        <axId val="10"/>
        <axId val="100"/>
      </barChart>
      <catAx>
        <axId val="10"/>
        <scaling>
          <orientation val="minMax"/>
        </scaling>
        <delete val="0"/>
        <axPos val="l"/>
        <majorTickMark val="none"/>
        <minorTickMark val="none"/>
        <spPr>
          <a:ln xmlns:a="http://schemas.openxmlformats.org/drawingml/2006/main">
            <a:solidFill>
              <a:srgbClr val="C9CCD4"/>
            </a:solidFill>
            <a:prstDash val="solid"/>
          </a:ln>
        </spPr>
        <crossAx val="100"/>
        <lblOffset val="100"/>
      </catAx>
      <valAx>
        <axId val="100"/>
        <scaling>
          <orientation val="minMax"/>
        </scaling>
        <delete val="0"/>
        <axPos val="l"/>
        <majorGridlines>
          <spPr>
            <a:ln xmlns:a="http://schemas.openxmlformats.org/drawingml/2006/main">
              <a:solidFill>
                <a:srgbClr val="EEF0F3"/>
              </a:solidFill>
              <a:prstDash val="solid"/>
            </a:ln>
          </spPr>
        </majorGridlines>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Émissions mensuelles par modèle (kgCO₂e)</a:t>
            </a:r>
          </a:p>
        </rich>
      </tx>
    </title>
    <plotArea>
      <barChart>
        <barDir val="col"/>
        <grouping val="stacked"/>
        <ser>
          <idx val="0"/>
          <order val="0"/>
          <tx>
            <strRef>
              <f>'Empreinte'!C23</f>
            </strRef>
          </tx>
          <spPr>
            <a:solidFill xmlns:a="http://schemas.openxmlformats.org/drawingml/2006/main">
              <a:srgbClr val="2A2AD0"/>
            </a:solidFill>
            <a:ln xmlns:a="http://schemas.openxmlformats.org/drawingml/2006/main" w="6350">
              <a:solidFill>
                <a:srgbClr val="FFFFFF"/>
              </a:solidFill>
              <a:prstDash val="solid"/>
            </a:ln>
          </spPr>
          <cat>
            <numRef>
              <f>'Empreinte'!$B$24:$B$35</f>
            </numRef>
          </cat>
          <val>
            <numRef>
              <f>'Empreinte'!$C$24:$C$35</f>
            </numRef>
          </val>
        </ser>
        <ser>
          <idx val="1"/>
          <order val="1"/>
          <tx>
            <strRef>
              <f>'Empreinte'!D23</f>
            </strRef>
          </tx>
          <spPr>
            <a:solidFill xmlns:a="http://schemas.openxmlformats.org/drawingml/2006/main">
              <a:srgbClr val="F07662"/>
            </a:solidFill>
            <a:ln xmlns:a="http://schemas.openxmlformats.org/drawingml/2006/main" w="6350">
              <a:solidFill>
                <a:srgbClr val="FFFFFF"/>
              </a:solidFill>
              <a:prstDash val="solid"/>
            </a:ln>
          </spPr>
          <cat>
            <numRef>
              <f>'Empreinte'!$B$24:$B$35</f>
            </numRef>
          </cat>
          <val>
            <numRef>
              <f>'Empreinte'!$D$24:$D$35</f>
            </numRef>
          </val>
        </ser>
        <ser>
          <idx val="2"/>
          <order val="2"/>
          <tx>
            <strRef>
              <f>'Empreinte'!E23</f>
            </strRef>
          </tx>
          <spPr>
            <a:solidFill xmlns:a="http://schemas.openxmlformats.org/drawingml/2006/main">
              <a:srgbClr val="00A3BB"/>
            </a:solidFill>
            <a:ln xmlns:a="http://schemas.openxmlformats.org/drawingml/2006/main" w="6350">
              <a:solidFill>
                <a:srgbClr val="FFFFFF"/>
              </a:solidFill>
              <a:prstDash val="solid"/>
            </a:ln>
          </spPr>
          <cat>
            <numRef>
              <f>'Empreinte'!$B$24:$B$35</f>
            </numRef>
          </cat>
          <val>
            <numRef>
              <f>'Empreinte'!$E$24:$E$35</f>
            </numRef>
          </val>
        </ser>
        <ser>
          <idx val="3"/>
          <order val="3"/>
          <tx>
            <strRef>
              <f>'Empreinte'!F23</f>
            </strRef>
          </tx>
          <spPr>
            <a:solidFill xmlns:a="http://schemas.openxmlformats.org/drawingml/2006/main">
              <a:srgbClr val="D99A00"/>
            </a:solidFill>
            <a:ln xmlns:a="http://schemas.openxmlformats.org/drawingml/2006/main" w="6350">
              <a:solidFill>
                <a:srgbClr val="FFFFFF"/>
              </a:solidFill>
              <a:prstDash val="solid"/>
            </a:ln>
          </spPr>
          <cat>
            <numRef>
              <f>'Empreinte'!$B$24:$B$35</f>
            </numRef>
          </cat>
          <val>
            <numRef>
              <f>'Empreinte'!$F$24:$F$35</f>
            </numRef>
          </val>
        </ser>
        <ser>
          <idx val="4"/>
          <order val="4"/>
          <tx>
            <strRef>
              <f>'Empreinte'!G23</f>
            </strRef>
          </tx>
          <spPr>
            <a:solidFill xmlns:a="http://schemas.openxmlformats.org/drawingml/2006/main">
              <a:srgbClr val="914146"/>
            </a:solidFill>
            <a:ln xmlns:a="http://schemas.openxmlformats.org/drawingml/2006/main" w="6350">
              <a:solidFill>
                <a:srgbClr val="FFFFFF"/>
              </a:solidFill>
              <a:prstDash val="solid"/>
            </a:ln>
          </spPr>
          <cat>
            <numRef>
              <f>'Empreinte'!$B$24:$B$35</f>
            </numRef>
          </cat>
          <val>
            <numRef>
              <f>'Empreinte'!$G$24:$G$35</f>
            </numRef>
          </val>
        </ser>
        <ser>
          <idx val="5"/>
          <order val="5"/>
          <tx>
            <strRef>
              <f>'Empreinte'!H23</f>
            </strRef>
          </tx>
          <spPr>
            <a:solidFill xmlns:a="http://schemas.openxmlformats.org/drawingml/2006/main">
              <a:srgbClr val="7D7BE8"/>
            </a:solidFill>
            <a:ln xmlns:a="http://schemas.openxmlformats.org/drawingml/2006/main" w="6350">
              <a:solidFill>
                <a:srgbClr val="FFFFFF"/>
              </a:solidFill>
              <a:prstDash val="solid"/>
            </a:ln>
          </spPr>
          <cat>
            <numRef>
              <f>'Empreinte'!$B$24:$B$35</f>
            </numRef>
          </cat>
          <val>
            <numRef>
              <f>'Empreinte'!$H$24:$H$35</f>
            </numRef>
          </val>
        </ser>
        <ser>
          <idx val="6"/>
          <order val="6"/>
          <tx>
            <strRef>
              <f>'Empreinte'!I23</f>
            </strRef>
          </tx>
          <spPr>
            <a:solidFill xmlns:a="http://schemas.openxmlformats.org/drawingml/2006/main">
              <a:srgbClr val="3F9A5F"/>
            </a:solidFill>
            <a:ln xmlns:a="http://schemas.openxmlformats.org/drawingml/2006/main" w="6350">
              <a:solidFill>
                <a:srgbClr val="FFFFFF"/>
              </a:solidFill>
              <a:prstDash val="solid"/>
            </a:ln>
          </spPr>
          <cat>
            <numRef>
              <f>'Empreinte'!$B$24:$B$35</f>
            </numRef>
          </cat>
          <val>
            <numRef>
              <f>'Empreinte'!$I$24:$I$35</f>
            </numRef>
          </val>
        </ser>
        <ser>
          <idx val="7"/>
          <order val="7"/>
          <tx>
            <strRef>
              <f>'Empreinte'!J23</f>
            </strRef>
          </tx>
          <spPr>
            <a:solidFill xmlns:a="http://schemas.openxmlformats.org/drawingml/2006/main">
              <a:srgbClr val="9A9DB3"/>
            </a:solidFill>
            <a:ln xmlns:a="http://schemas.openxmlformats.org/drawingml/2006/main" w="6350">
              <a:solidFill>
                <a:srgbClr val="FFFFFF"/>
              </a:solidFill>
              <a:prstDash val="solid"/>
            </a:ln>
          </spPr>
          <cat>
            <numRef>
              <f>'Empreinte'!$B$24:$B$35</f>
            </numRef>
          </cat>
          <val>
            <numRef>
              <f>'Empreinte'!$J$24:$J$35</f>
            </numRef>
          </val>
        </ser>
        <ser>
          <idx val="8"/>
          <order val="8"/>
          <tx>
            <strRef>
              <f>'Empreinte'!K23</f>
            </strRef>
          </tx>
          <spPr>
            <a:solidFill xmlns:a="http://schemas.openxmlformats.org/drawingml/2006/main">
              <a:srgbClr val="D2D5DC"/>
            </a:solidFill>
            <a:ln xmlns:a="http://schemas.openxmlformats.org/drawingml/2006/main" w="6350">
              <a:solidFill>
                <a:srgbClr val="FFFFFF"/>
              </a:solidFill>
              <a:prstDash val="solid"/>
            </a:ln>
          </spPr>
          <cat>
            <numRef>
              <f>'Empreinte'!$B$24:$B$35</f>
            </numRef>
          </cat>
          <val>
            <numRef>
              <f>'Empreinte'!$K$24:$K$35</f>
            </numRef>
          </val>
        </ser>
        <gapWidth val="40"/>
        <overlap val="100"/>
        <axId val="10"/>
        <axId val="100"/>
      </barChart>
      <catAx>
        <axId val="10"/>
        <scaling>
          <orientation val="minMax"/>
        </scaling>
        <delete val="0"/>
        <axPos val="l"/>
        <majorTickMark val="none"/>
        <minorTickMark val="none"/>
        <spPr>
          <a:ln xmlns:a="http://schemas.openxmlformats.org/drawingml/2006/main">
            <a:solidFill>
              <a:srgbClr val="C9CCD4"/>
            </a:solidFill>
            <a:prstDash val="solid"/>
          </a:ln>
        </spPr>
        <crossAx val="100"/>
        <lblOffset val="100"/>
      </catAx>
      <valAx>
        <axId val="100"/>
        <scaling>
          <orientation val="minMax"/>
        </scaling>
        <delete val="0"/>
        <axPos val="l"/>
        <majorGridlines>
          <spPr>
            <a:ln xmlns:a="http://schemas.openxmlformats.org/drawingml/2006/main">
              <a:solidFill>
                <a:srgbClr val="EEF0F3"/>
              </a:solidFill>
              <a:prstDash val="solid"/>
            </a:ln>
          </spPr>
        </majorGridlines>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Cumul de l'année, réel et projeté (kgCO₂e)</a:t>
            </a:r>
          </a:p>
        </rich>
      </tx>
    </title>
    <plotArea>
      <barChart>
        <barDir val="col"/>
        <grouping val="stacked"/>
        <ser>
          <idx val="0"/>
          <order val="0"/>
          <tx>
            <strRef>
              <f>'Empreinte'!F6</f>
            </strRef>
          </tx>
          <spPr>
            <a:solidFill xmlns:a="http://schemas.openxmlformats.org/drawingml/2006/main">
              <a:srgbClr val="00008F"/>
            </a:solidFill>
            <a:ln xmlns:a="http://schemas.openxmlformats.org/drawingml/2006/main" w="6350">
              <a:solidFill>
                <a:srgbClr val="FFFFFF"/>
              </a:solidFill>
              <a:prstDash val="solid"/>
            </a:ln>
          </spPr>
          <cat>
            <numRef>
              <f>'Empreinte'!$B$7:$B$18</f>
            </numRef>
          </cat>
          <val>
            <numRef>
              <f>'Empreinte'!$F$7:$F$18</f>
            </numRef>
          </val>
        </ser>
        <ser>
          <idx val="1"/>
          <order val="1"/>
          <tx>
            <strRef>
              <f>'Empreinte'!G6</f>
            </strRef>
          </tx>
          <spPr>
            <a:solidFill xmlns:a="http://schemas.openxmlformats.org/drawingml/2006/main">
              <a:srgbClr val="B9BCEB"/>
            </a:solidFill>
            <a:ln xmlns:a="http://schemas.openxmlformats.org/drawingml/2006/main" w="6350">
              <a:solidFill>
                <a:srgbClr val="FFFFFF"/>
              </a:solidFill>
              <a:prstDash val="solid"/>
            </a:ln>
          </spPr>
          <cat>
            <numRef>
              <f>'Empreinte'!$B$7:$B$18</f>
            </numRef>
          </cat>
          <val>
            <numRef>
              <f>'Empreinte'!$G$7:$G$18</f>
            </numRef>
          </val>
        </ser>
        <gapWidth val="40"/>
        <overlap val="100"/>
        <axId val="10"/>
        <axId val="100"/>
      </barChart>
      <catAx>
        <axId val="10"/>
        <scaling>
          <orientation val="minMax"/>
        </scaling>
        <delete val="0"/>
        <axPos val="l"/>
        <majorTickMark val="none"/>
        <minorTickMark val="none"/>
        <spPr>
          <a:ln xmlns:a="http://schemas.openxmlformats.org/drawingml/2006/main">
            <a:solidFill>
              <a:srgbClr val="C9CCD4"/>
            </a:solidFill>
            <a:prstDash val="solid"/>
          </a:ln>
        </spPr>
        <crossAx val="100"/>
        <lblOffset val="100"/>
      </catAx>
      <valAx>
        <axId val="100"/>
        <scaling>
          <orientation val="minMax"/>
        </scaling>
        <delete val="0"/>
        <axPos val="l"/>
        <majorGridlines>
          <spPr>
            <a:ln xmlns:a="http://schemas.openxmlformats.org/drawingml/2006/main">
              <a:solidFill>
                <a:srgbClr val="EEF0F3"/>
              </a:solidFill>
              <a:prstDash val="solid"/>
            </a:ln>
          </spPr>
        </majorGridlines>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Émissions quotidiennes (kgCO₂e)</a:t>
            </a:r>
          </a:p>
        </rich>
      </tx>
    </title>
    <plotArea>
      <lineChart>
        <grouping val="standard"/>
        <ser>
          <idx val="0"/>
          <order val="0"/>
          <tx>
            <strRef>
              <f>'Interne'!K29</f>
            </strRef>
          </tx>
          <spPr>
            <a:ln xmlns:a="http://schemas.openxmlformats.org/drawingml/2006/main" w="15875">
              <a:solidFill>
                <a:srgbClr val="00008F"/>
              </a:solidFill>
              <a:prstDash val="solid"/>
            </a:ln>
          </spPr>
          <marker>
            <symbol val="none"/>
            <spPr>
              <a:ln xmlns:a="http://schemas.openxmlformats.org/drawingml/2006/main">
                <a:prstDash val="solid"/>
              </a:ln>
            </spPr>
          </marker>
          <cat>
            <numRef>
              <f>'Interne'!$J$30:$J$394</f>
            </numRef>
          </cat>
          <val>
            <numRef>
              <f>'Interne'!$K$30:$K$394</f>
            </numRef>
          </val>
          <smooth val="1"/>
        </ser>
        <axId val="10"/>
        <axId val="100"/>
      </lineChart>
      <catAx>
        <axId val="10"/>
        <scaling>
          <orientation val="minMax"/>
        </scaling>
        <delete val="0"/>
        <axPos val="l"/>
        <numFmt formatCode="mmm" sourceLinked="0"/>
        <majorTickMark val="none"/>
        <minorTickMark val="none"/>
        <spPr>
          <a:ln xmlns:a="http://schemas.openxmlformats.org/drawingml/2006/main">
            <a:solidFill>
              <a:srgbClr val="C9CCD4"/>
            </a:solidFill>
            <a:prstDash val="solid"/>
          </a:ln>
        </spPr>
        <crossAx val="100"/>
        <lblOffset val="100"/>
        <tickLblSkip val="31"/>
        <tickMarkSkip val="31"/>
      </catAx>
      <valAx>
        <axId val="100"/>
        <scaling>
          <orientation val="minMax"/>
        </scaling>
        <delete val="0"/>
        <axPos val="l"/>
        <majorGridlines>
          <spPr>
            <a:ln xmlns:a="http://schemas.openxmlformats.org/drawingml/2006/main">
              <a:solidFill>
                <a:srgbClr val="EEF0F3"/>
              </a:solidFill>
              <a:prstDash val="solid"/>
            </a:ln>
          </spPr>
        </majorGridlines>
        <numFmt formatCode="#,##0.0" sourceLinked="0"/>
        <majorTickMark val="none"/>
        <minorTickMark val="none"/>
        <spPr>
          <a:ln xmlns:a="http://schemas.openxmlformats.org/drawingml/2006/main">
            <a:noFill/>
            <a:prstDash val="solid"/>
          </a:ln>
        </spPr>
        <crossAx val="10"/>
      </valAx>
    </plotArea>
    <plotVisOnly val="1"/>
    <dispBlanksAs val="gap"/>
  </chart>
</chartSpace>
</file>

<file path=xl/comments/comment1.xml><?xml version="1.0" encoding="utf-8"?>
<comments xmlns="http://schemas.openxmlformats.org/spreadsheetml/2006/main">
  <authors>
    <author>Classeur</author>
  </authors>
  <commentList>
    <comment ref="W1" authorId="0" shapeId="0">
      <text>
        <t>Colonnes calculées (bleues) : ne pas modifier. Elles se recopient seules quand le tableau s'agrandit.</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oneCellAnchor>
    <from>
      <col>1</col>
      <colOff>0</colOff>
      <row>17</row>
      <rowOff>0</rowOff>
    </from>
    <ext cx="84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13</col>
      <colOff>0</colOff>
      <row>4</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23</row>
      <rowOff>0</rowOff>
    </from>
    <ext cx="72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40</row>
      <rowOff>0</rowOff>
    </from>
    <ext cx="72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Data" displayName="TData" ref="A1:AK2" headerRowCount="1">
  <tableColumns count="37">
    <tableColumn id="1" name="date"/>
    <tableColumn id="2" name="username"/>
    <tableColumn id="3" name="product"/>
    <tableColumn id="4" name="sku"/>
    <tableColumn id="5" name="model"/>
    <tableColumn id="6" name="quantity"/>
    <tableColumn id="7" name="unit-type"/>
    <tableColumn id="8" name="applied_cost_per_quantity"/>
    <tableColumn id="9" name="gross_amount"/>
    <tableColumn id="10" name="discount_amount"/>
    <tableColumn id="11" name="net_amount"/>
    <tableColumn id="12" name="total_monthly_quota"/>
    <tableColumn id="13" name="organization"/>
    <tableColumn id="14" name="app_client_id"/>
    <tableColumn id="15" name="repository"/>
    <tableColumn id="16" name="cost_center_name"/>
    <tableColumn id="17" name="aic_quantity"/>
    <tableColumn id="18" name="aic_gross_amount"/>
    <tableColumn id="19" name="input"/>
    <tableColumn id="20" name="output"/>
    <tableColumn id="21" name="cache_read"/>
    <tableColumn id="22" name="cache_write"/>
    <tableColumn id="23" name="Modele">
      <calculatedColumnFormula>IF(TData[[#This Row],[date]]="","",IF(LEFT(TRIM(TData[[#This Row],[model]]),5)="Auto:",TRIM(MID(TRIM(TData[[#This Row],[model]]),6,200)),TRIM(TData[[#This Row],[model]])))</calculatedColumnFormula>
    </tableColumn>
    <tableColumn id="24" name="Jour">
      <calculatedColumnFormula>IF(TData[[#This Row],[date]]="","",IFERROR(IF(ISNUMBER(TData[[#This Row],[date]]),INT(TData[[#This Row],[date]]),DATEVALUE(TData[[#This Row],[date]])),""))</calculatedColumnFormula>
    </tableColumn>
    <tableColumn id="25" name="Modele_cle">
      <calculatedColumnFormula>IF(TData[[#This Row],[Modele]]="","",IF(COUNTIFS(M_Nom,TData[[#This Row],[Modele]]&amp;" [ancien tarif]",M_Avant,"&gt;"&amp;TData[[#This Row],[Jour]])&gt;0,TData[[#This Row],[Modele]]&amp;" [ancien tarif]",TData[[#This Row],[Modele]]))</calculatedColumnFormula>
    </tableColumn>
    <tableColumn id="26" name="Ligne">
      <calculatedColumnFormula>IF(OR(TData[[#This Row],[Modele_cle]]="",AND(TData[[#This Row],[product]]&lt;&gt;"",ISERROR(SEARCH("copilot",TData[[#This Row],[product]])))),"",IFERROR(MATCH(TData[[#This Row],[Modele_cle]],M_Nom,0),MATCH("(Autre modèle)",M_Nom,0)))</calculatedColumnFormula>
    </tableColumn>
    <tableColumn id="27" name="Groupe">
      <calculatedColumnFormula>IF(TData[[#This Row],[Ligne]]="","",SUBSTITUTE(INDEX(M_Nom,TData[[#This Row],[Ligne]])," [ancien tarif]",""))</calculatedColumnFormula>
    </tableColumn>
    <tableColumn id="28" name="F_input_frais">
      <calculatedColumnFormula>IF(TData[[#This Row],[Ligne]]="","",MAX(0,N(TData[[#This Row],[input]])-INDEX(M_Delta,TData[[#This Row],[Ligne]])*N(TData[[#This Row],[cache_read]])-INDEX(M_Eps,TData[[#This Row],[Ligne]])*N(TData[[#This Row],[cache_write]])))</calculatedColumnFormula>
    </tableColumn>
    <tableColumn id="29" name="T_O">
      <calculatedColumnFormula>IF(TData[[#This Row],[Ligne]]="","",TData[[#This Row],[F_input_frais]]*INDEX(M_sI,TData[[#This Row],[Ligne]])+N(TData[[#This Row],[cache_read]])*INDEX(M_sCR,TData[[#This Row],[Ligne]])+N(TData[[#This Row],[cache_write]])*INDEX(M_sCW,TData[[#This Row],[Ligne]])+N(TData[[#This Row],[output]]))</calculatedColumnFormula>
    </tableColumn>
    <tableColumn id="30" name="Energie_kWh">
      <calculatedColumnFormula>IF(TData[[#This Row],[Ligne]]="","",TData[[#This Row],[T_O]]*INDEX(M_eO,TData[[#This Row],[Ligne]])*INDEX(M_PUE,TData[[#This Row],[Ligne]])/1000)</calculatedColumnFormula>
    </tableColumn>
    <tableColumn id="31" name="CO2e_kg">
      <calculatedColumnFormula>IF(TData[[#This Row],[Ligne]]="","",TData[[#This Row],[T_O]]*INDEX(M_FE,TData[[#This Row],[Ligne]]))</calculatedColumnFormula>
    </tableColumn>
    <tableColumn id="32" name="Montant_brut">
      <calculatedColumnFormula>IF(TData[[#This Row],[date]]="","",IF(ISNUMBER(TData[[#This Row],[gross_amount]]),TData[[#This Row],[gross_amount]],IFERROR(VALUE(SUBSTITUTE(TData[[#This Row],[gross_amount]],".",MID(1/2,2,1))),0)))</calculatedColumnFormula>
    </tableColumn>
    <tableColumn id="33" name="Annee">
      <calculatedColumnFormula>IF(TData[[#This Row],[Jour]]="","",YEAR(TData[[#This Row],[Jour]]))</calculatedColumnFormula>
    </tableColumn>
    <tableColumn id="34" name="Mois">
      <calculatedColumnFormula>IF(TData[[#This Row],[Jour]]="","",MONTH(TData[[#This Row],[Jour]]))</calculatedColumnFormula>
    </tableColumn>
    <tableColumn id="35" name="C2_cache_sup_input">
      <calculatedColumnFormula>IF(TData[[#This Row],[Ligne]]="","",IF(N(TData[[#This Row],[cache_read]])+N(TData[[#This Row],[cache_write]])&gt;N(TData[[#This Row],[input]]),1,0))</calculatedColumnFormula>
    </tableColumn>
    <tableColumn id="36" name="C4_input_frais_negatif">
      <calculatedColumnFormula>IF(TData[[#This Row],[Ligne]]="","",IF(N(TData[[#This Row],[input]])-INDEX(M_Delta,TData[[#This Row],[Ligne]])*N(TData[[#This Row],[cache_read]])-INDEX(M_Eps,TData[[#This Row],[Ligne]])*N(TData[[#This Row],[cache_write]])&lt;0,1,0))</calculatedColumnFormula>
    </tableColumn>
    <tableColumn id="37" name="C4_CW_sans_tarif">
      <calculatedColumnFormula>IF(TData[[#This Row],[Ligne]]="","",IF(AND(N(TData[[#This Row],[cache_write]])&gt;0,INDEX(M_PCW,TData[[#This Row],[Ligne]])="",N(INDEX(M_PO,TData[[#This Row],[Ligne]]))&gt;0),1,0))</calculatedColumnFormula>
    </tableColumn>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D99A00"/>
    <outlinePr summaryBelow="1" summaryRight="1"/>
    <pageSetUpPr/>
  </sheetPr>
  <dimension ref="B2:C47"/>
  <sheetViews>
    <sheetView showGridLines="0" tabSelected="0" zoomScale="90" workbookViewId="0">
      <selection activeCell="A1" sqref="A1"/>
    </sheetView>
  </sheetViews>
  <sheetFormatPr baseColWidth="8" defaultRowHeight="15"/>
  <cols>
    <col width="2.5" customWidth="1" min="1" max="1"/>
    <col width="4" customWidth="1" min="2" max="2"/>
    <col width="110" customWidth="1" min="3" max="3"/>
  </cols>
  <sheetData>
    <row r="2" ht="28" customHeight="1">
      <c r="B2" s="1" t="inlineStr">
        <is>
          <t>Mode d'emploi</t>
        </is>
      </c>
    </row>
    <row r="3">
      <c r="B3" s="2" t="inlineStr">
        <is>
          <t>Déclinaison Excel du tableau de bord « Empreinte carbone de GitHub Copilot ».</t>
        </is>
      </c>
    </row>
    <row r="5" ht="30" customHeight="1">
      <c r="B5" s="3" t="inlineStr">
        <is>
          <t>1</t>
        </is>
      </c>
      <c r="C5" s="4" t="inlineStr">
        <is>
          <t>Exportez le rapport d'usage Copilot (CSV « AI usage report ») depuis GitHub.</t>
        </is>
      </c>
    </row>
    <row r="6" ht="30" customHeight="1">
      <c r="B6" s="3" t="inlineStr">
        <is>
          <t>2</t>
        </is>
      </c>
      <c r="C6" s="4" t="inlineStr">
        <is>
          <t>Dans l'onglet Données, videz l'ancien contenu s'il y en a : sélectionnez les lignes du tableau sous l'en-tête, clic droit › Supprimer › Lignes du tableau.</t>
        </is>
      </c>
    </row>
    <row r="7" ht="58" customHeight="1">
      <c r="B7" s="3" t="inlineStr">
        <is>
          <t>3</t>
        </is>
      </c>
      <c r="C7" s="4" t="inlineStr">
        <is>
          <t>Ouvrez le CSV, copiez toutes les lignes sous l'en-tête (colonnes date à cache_write, dans l'ordre de l'export) et collez-les en A2 de l'onglet Données. Le tableau s'agrandit et les colonnes bleues se calculent seules. Si les nombres décimaux sont mal lus (Excel en français), passez par Données › À partir d'un fichier texte/CSV, avec « Origine du fichier » 65001 : Unicode (UTF-8) et la virgule comme délimiteur, puis copiez le résultat.</t>
        </is>
      </c>
    </row>
    <row r="8" ht="30" customHeight="1">
      <c r="B8" s="3" t="inlineStr">
        <is>
          <t>4</t>
        </is>
      </c>
      <c r="C8" s="4" t="inlineStr">
        <is>
          <t>Ouvrez l'onglet Synthèse. L'année affichée est la dernière des données ; tapez une autre année dans la cellule jaune pour changer.</t>
        </is>
      </c>
    </row>
    <row r="9" ht="58" customHeight="1">
      <c r="B9" s="3" t="inlineStr">
        <is>
          <t>5</t>
        </is>
      </c>
      <c r="C9" s="4" t="inlineStr">
        <is>
          <t>Réglez les hypothèses dans l'onglet Calcul (source des facteurs, mix électrique, fabrication, fourchette, projection, paramètres par modèle). Vérifiez l'onglet Contrôles après chaque nouvel import, en particulier les modèles inconnus (C1).</t>
        </is>
      </c>
    </row>
    <row r="11">
      <c r="B11" s="5" t="inlineStr">
        <is>
          <t>Légende</t>
        </is>
      </c>
    </row>
    <row r="12">
      <c r="B12" s="6" t="n"/>
      <c r="C12" s="7" t="inlineStr">
        <is>
          <t>Cellule jaune, texte bleu : saisie ou hypothèse modifiable.</t>
        </is>
      </c>
    </row>
    <row r="13">
      <c r="B13" s="8" t="n"/>
      <c r="C13" s="7" t="inlineStr">
        <is>
          <t>En-tête bleu dans Données : colonne calculée, ne pas modifier.</t>
        </is>
      </c>
    </row>
    <row r="14">
      <c r="C14" s="7" t="inlineStr">
        <is>
          <t>Tout le reste est calculé par formules. Les tokens s'affichent en k, M et Mds ; les émissions en kg puis en t au-delà de 1 000 kg.</t>
        </is>
      </c>
    </row>
    <row r="16">
      <c r="B16" s="5" t="inlineStr">
        <is>
          <t>Format attendu (une ligne d'exemple, ne pas la coller)</t>
        </is>
      </c>
    </row>
    <row r="17">
      <c r="C17" s="9" t="inlineStr">
        <is>
          <t>date : 2026-10-21</t>
        </is>
      </c>
    </row>
    <row r="18">
      <c r="C18" s="9" t="inlineStr">
        <is>
          <t>username : jdupont</t>
        </is>
      </c>
    </row>
    <row r="19">
      <c r="C19" s="9" t="inlineStr">
        <is>
          <t>product : copilot</t>
        </is>
      </c>
    </row>
    <row r="20">
      <c r="C20" s="9" t="inlineStr">
        <is>
          <t>sku : copilot_ai_credits</t>
        </is>
      </c>
    </row>
    <row r="21">
      <c r="C21" s="9" t="inlineStr">
        <is>
          <t>model : Claude Sonnet 4.6</t>
        </is>
      </c>
    </row>
    <row r="22">
      <c r="C22" s="9" t="inlineStr">
        <is>
          <t>quantity : 168.25</t>
        </is>
      </c>
    </row>
    <row r="23">
      <c r="C23" s="9" t="inlineStr">
        <is>
          <t>unit-type : ai-credits</t>
        </is>
      </c>
    </row>
    <row r="24">
      <c r="C24" s="9" t="inlineStr">
        <is>
          <t>applied_cost_per_quantity : 0.04</t>
        </is>
      </c>
    </row>
    <row r="25">
      <c r="C25" s="9" t="inlineStr">
        <is>
          <t>gross_amount : 6.73</t>
        </is>
      </c>
    </row>
    <row r="26">
      <c r="C26" s="9" t="inlineStr">
        <is>
          <t>discount_amount : 0</t>
        </is>
      </c>
    </row>
    <row r="27">
      <c r="C27" s="9" t="inlineStr">
        <is>
          <t>net_amount : 6.73</t>
        </is>
      </c>
    </row>
    <row r="28">
      <c r="C28" s="9" t="inlineStr">
        <is>
          <t>total_monthly_quota : (vide)</t>
        </is>
      </c>
    </row>
    <row r="29">
      <c r="C29" s="9" t="inlineStr">
        <is>
          <t>organization : mon-org</t>
        </is>
      </c>
    </row>
    <row r="30">
      <c r="C30" s="9" t="inlineStr">
        <is>
          <t>app_client_id : (vide)</t>
        </is>
      </c>
    </row>
    <row r="31">
      <c r="C31" s="9" t="inlineStr">
        <is>
          <t>repository : equipe/projet</t>
        </is>
      </c>
    </row>
    <row r="32">
      <c r="C32" s="9" t="inlineStr">
        <is>
          <t>cost_center_name : Centre de coûts</t>
        </is>
      </c>
    </row>
    <row r="33">
      <c r="C33" s="9" t="inlineStr">
        <is>
          <t>aic_quantity : (vide)</t>
        </is>
      </c>
    </row>
    <row r="34">
      <c r="C34" s="9" t="inlineStr">
        <is>
          <t>aic_gross_amount : (vide)</t>
        </is>
      </c>
    </row>
    <row r="35">
      <c r="C35" s="9" t="inlineStr">
        <is>
          <t>input : 465058</t>
        </is>
      </c>
    </row>
    <row r="36">
      <c r="C36" s="9" t="inlineStr">
        <is>
          <t>output : 56580</t>
        </is>
      </c>
    </row>
    <row r="37">
      <c r="C37" s="9" t="inlineStr">
        <is>
          <t>cache_read : 8595138</t>
        </is>
      </c>
    </row>
    <row r="38">
      <c r="C38" s="9" t="inlineStr">
        <is>
          <t>cache_write : 509724</t>
        </is>
      </c>
    </row>
    <row r="40">
      <c r="B40" s="5" t="inlineStr">
        <is>
          <t>Onglets</t>
        </is>
      </c>
    </row>
    <row r="41">
      <c r="C41" s="7" t="inlineStr">
        <is>
          <t>• Synthèse : indicateurs clés de l'année, tendance, graphique mensuel, modèles les plus émetteurs, phrases à retenir.</t>
        </is>
      </c>
    </row>
    <row r="42">
      <c r="C42" s="7" t="inlineStr">
        <is>
          <t>• Empreinte : tableau mois par mois (réel et projeté), répartition par modèle, cumul, série quotidienne, classement complet des modèles.</t>
        </is>
      </c>
    </row>
    <row r="43">
      <c r="C43" s="7" t="inlineStr">
        <is>
          <t>• Calcul : formules, réglages globaux et paramètres par modèle (prix, convention, e_O, facteurs).</t>
        </is>
      </c>
    </row>
    <row r="44">
      <c r="C44" s="7" t="inlineStr">
        <is>
          <t>• Contrôles : C1 à C6.</t>
        </is>
      </c>
    </row>
    <row r="45">
      <c r="C45" s="7" t="inlineStr">
        <is>
          <t>• Méthodologie : sources et choix de méthode.</t>
        </is>
      </c>
    </row>
    <row r="46">
      <c r="C46" s="7" t="inlineStr">
        <is>
          <t>• Données : l'export collé et les colonnes calculées.</t>
        </is>
      </c>
    </row>
    <row r="47">
      <c r="C47" s="7" t="inlineStr">
        <is>
          <t>• Interne et Listes : calculs intermédiaires et listes de choix, à ne pas modifier.</t>
        </is>
      </c>
    </row>
  </sheetData>
  <pageMargins left="0.75" right="0.75" top="1" bottom="1" header="0.5" footer="0.5"/>
</worksheet>
</file>

<file path=xl/worksheets/sheet2.xml><?xml version="1.0" encoding="utf-8"?>
<worksheet xmlns="http://schemas.openxmlformats.org/spreadsheetml/2006/main">
  <sheetPr>
    <tabColor rgb="0000008F"/>
    <outlinePr summaryBelow="1" summaryRight="1"/>
    <pageSetUpPr/>
  </sheetPr>
  <dimension ref="B2:M49"/>
  <sheetViews>
    <sheetView showGridLines="0" tabSelected="1" zoomScale="90" workbookViewId="0">
      <selection activeCell="A1" sqref="A1"/>
    </sheetView>
  </sheetViews>
  <sheetFormatPr baseColWidth="8" defaultRowHeight="15"/>
  <cols>
    <col width="2.5"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s>
  <sheetData>
    <row r="2" ht="30" customHeight="1">
      <c r="B2" s="10" t="inlineStr">
        <is>
          <t>Empreinte carbone de GitHub Copilot</t>
        </is>
      </c>
    </row>
    <row r="3">
      <c r="B3" s="2" t="str">
        <f>"Inférence des modèles utilisés via Copilot · facteurs : "&amp;P_Source&amp;" · méthode du 20/10/2026"</f>
        <v>Inférence des modèles utilisés via Copilot · facteurs : Table fournie · méthode du 20/10/2026</v>
      </c>
    </row>
    <row r="4">
      <c r="B4" s="11" t="str">
        <f>IF(S_Has,"Données du "&amp;RIGHT("0"&amp;DAY(S_First),2)&amp;"/"&amp;RIGHT("0"&amp;MONTH(S_First),2)&amp;"/"&amp;YEAR(S_First)&amp;" au "&amp;RIGHT("0"&amp;DAY(S_Last),2)&amp;"/"&amp;RIGHT("0"&amp;MONTH(S_Last),2)&amp;"/"&amp;YEAR(S_Last)&amp;" · "&amp;FIXED(COUNT(D_Jour),0)&amp;" lignes","Aucune donnée : collez votre export dans l'onglet Données (voir Mode d'emploi).")</f>
        <v>Aucune donnée : collez votre export dans l'onglet Données (voir Mode d'emploi).</v>
      </c>
    </row>
    <row r="6">
      <c r="B6" s="12" t="inlineStr">
        <is>
          <t>Année</t>
        </is>
      </c>
      <c r="C6" s="13">
        <f>YEAR(IF(COUNT(D_Jour)&gt;0,MAX(D_Jour),TODAY()))</f>
        <v>2026</v>
      </c>
      <c r="D6" s="14" t="inlineStr">
        <is>
          <t>← saisissez une autre année pour changer toute la synthèse et l'onglet Empreinte (par défaut : la dernière année des données).</t>
        </is>
      </c>
    </row>
    <row r="8" ht="20" customHeight="1">
      <c r="B8" s="15" t="str">
        <f>"Émissions "&amp;S_An</f>
        <v>Émissions 2026</v>
      </c>
      <c r="C8" s="16" t="n"/>
      <c r="D8" s="17" t="n"/>
      <c r="E8" s="15" t="str">
        <f>IF(S_Cur,"Atterrissage fin "&amp;S_An,"Bilan "&amp;S_An)</f>
        <v>Bilan 2026</v>
      </c>
      <c r="F8" s="16" t="n"/>
      <c r="G8" s="17" t="n"/>
      <c r="H8" s="15" t="inlineStr">
        <is>
          <t>Tokens équivalent output</t>
        </is>
      </c>
      <c r="I8" s="16" t="n"/>
      <c r="J8" s="17" t="n"/>
      <c r="K8" s="15" t="inlineStr">
        <is>
          <t>Coût brut</t>
        </is>
      </c>
      <c r="L8" s="16" t="n"/>
      <c r="M8" s="17" t="n"/>
    </row>
    <row r="9" ht="34" customHeight="1">
      <c r="B9" s="18">
        <f>S_YTD</f>
        <v>0</v>
      </c>
      <c r="C9" s="19" t="n"/>
      <c r="D9" s="20" t="n"/>
      <c r="E9" s="18">
        <f>S_Land</f>
        <v>0</v>
      </c>
      <c r="F9" s="19" t="n"/>
      <c r="G9" s="20" t="n"/>
      <c r="H9" s="21">
        <f>S_TO</f>
        <v>0</v>
      </c>
      <c r="I9" s="19" t="n"/>
      <c r="J9" s="20" t="n"/>
      <c r="K9" s="22">
        <f>S_Brut</f>
        <v>0</v>
      </c>
      <c r="L9" s="19" t="n"/>
      <c r="M9" s="20" t="n"/>
    </row>
    <row r="10" ht="30" customHeight="1">
      <c r="B10" s="23" t="str">
        <f>"Fourchette "&amp;IF(S_YTD*P_Lo&gt;=1000,FIXED(S_YTD*P_Lo/1000,2)&amp;" t",FIXED(S_YTD*P_Lo,1)&amp;" kg")&amp;" – "&amp;IF(S_YTD*P_Hi&gt;=1000,FIXED(S_YTD*P_Hi/1000,2)&amp;" t",FIXED(S_YTD*P_Hi,1)&amp;" kg")</f>
        <v>Fourchette 0.0 kg – 0.0 kg</v>
      </c>
      <c r="C10" s="24" t="n"/>
      <c r="D10" s="25" t="n"/>
      <c r="E10" s="23" t="str">
        <f>IF(S_Cur,"Déjà émis "&amp;IF(S_YTD&gt;=1000,FIXED(S_YTD/1000,2)&amp;" t",FIXED(S_YTD,1)&amp;" kg")&amp;" · fourchette "&amp;IF(S_Land*P_Lo&gt;=1000,FIXED(S_Land*P_Lo/1000,2)&amp;" t",FIXED(S_Land*P_Lo,1)&amp;" kg")&amp;" – "&amp;IF(S_Land*P_Hi&gt;=1000,FIXED(S_Land*P_Hi/1000,2)&amp;" t",FIXED(S_Land*P_Hi,1)&amp;" kg"),"Année close : émissions réelles")</f>
        <v>Année close : émissions réelles</v>
      </c>
      <c r="F10" s="24" t="n"/>
      <c r="G10" s="25" t="n"/>
      <c r="H10" s="23" t="str">
        <f>"Énergie "&amp;IF(S_kWh&gt;=1000,FIXED(S_kWh/1000,2)&amp;" MWh",FIXED(S_kWh,1)&amp;" kWh")&amp;" (e_O × PUE, EcoLogits v2)"</f>
        <v>Énergie 0.0 kWh (e_O × PUE, EcoLogits v2)</v>
      </c>
      <c r="I10" s="24" t="n"/>
      <c r="J10" s="25" t="n"/>
      <c r="K10" s="23" t="str">
        <f>IF(S_Brut&gt;0,FIXED(S_YTD*1000/S_Brut,1)&amp;" gCO₂e par dollar","Pas de montant dans l'export")</f>
        <v>Pas de montant dans l'export</v>
      </c>
      <c r="L10" s="24" t="n"/>
      <c r="M10" s="25" t="n"/>
    </row>
    <row r="12">
      <c r="B12" s="26" t="inlineStr">
        <is>
          <t>Tendance</t>
        </is>
      </c>
      <c r="C12" s="27" t="n"/>
      <c r="D12" s="27" t="n"/>
      <c r="E12" s="27" t="n"/>
      <c r="F12" s="27" t="n"/>
      <c r="G12" s="27" t="n"/>
      <c r="H12" s="27" t="n"/>
      <c r="I12" s="27" t="n"/>
      <c r="J12" s="27" t="n"/>
      <c r="K12" s="27" t="n"/>
      <c r="L12" s="27" t="n"/>
      <c r="M12" s="27" t="n"/>
    </row>
    <row r="13" ht="20" customHeight="1">
      <c r="B13" s="15" t="str">
        <f>IF(S_Cur,S_An&amp;" à date vs même période "&amp;(S_An-1),S_An&amp;" vs "&amp;(S_An-1))</f>
        <v>2026 vs 2025</v>
      </c>
      <c r="C13" s="16" t="n"/>
      <c r="D13" s="16" t="n"/>
      <c r="E13" s="17" t="n"/>
      <c r="F13" s="15" t="str">
        <f>"Dernier mois complet ("&amp;INDEX(L_Mois,MONTH(S_LCM))&amp;" "&amp;YEAR(S_LCM)&amp;") vs "&amp;(YEAR(S_LCM)-1)</f>
        <v>Dernier mois complet (déc. 2026) vs 2025</v>
      </c>
      <c r="G13" s="16" t="n"/>
      <c r="H13" s="16" t="n"/>
      <c r="I13" s="17" t="n"/>
      <c r="J13" s="15" t="str">
        <f>"Projection "&amp;S_An&amp;" vs "&amp;(S_An-1)</f>
        <v>Projection 2026 vs 2025</v>
      </c>
      <c r="K13" s="16" t="n"/>
      <c r="L13" s="16" t="n"/>
      <c r="M13" s="17" t="n"/>
    </row>
    <row r="14" ht="34" customHeight="1">
      <c r="B14" s="28" t="str">
        <f>IF(S_PrevSame&gt;0,S_CurSame/S_PrevSame-1,"—")</f>
        <v>—</v>
      </c>
      <c r="C14" s="19" t="n"/>
      <c r="D14" s="19" t="n"/>
      <c r="E14" s="20" t="n"/>
      <c r="F14" s="28" t="str">
        <f>IF(S_LCMp&gt;0,S_LCMv/S_LCMp-1,"—")</f>
        <v>—</v>
      </c>
      <c r="G14" s="19" t="n"/>
      <c r="H14" s="19" t="n"/>
      <c r="I14" s="20" t="n"/>
      <c r="J14" s="28" t="str">
        <f>IF(S_PrevTot&gt;0,S_Land/S_PrevTot-1,"—")</f>
        <v>—</v>
      </c>
      <c r="K14" s="19" t="n"/>
      <c r="L14" s="19" t="n"/>
      <c r="M14" s="20" t="n"/>
    </row>
    <row r="15" ht="30" customHeight="1">
      <c r="B15" s="23" t="str">
        <f>IF(S_CurSame&gt;=1000,FIXED(S_CurSame/1000,2)&amp;" t",FIXED(S_CurSame,1)&amp;" kg")&amp;" CO₂e"&amp;" contre "&amp;IF(S_PrevSame&gt;=1000,FIXED(S_PrevSame/1000,2)&amp;" t",FIXED(S_PrevSame,1)&amp;" kg")&amp;" CO₂e"</f>
        <v>0.0 kg CO₂e contre 0.0 kg CO₂e</v>
      </c>
      <c r="C15" s="24" t="n"/>
      <c r="D15" s="24" t="n"/>
      <c r="E15" s="25" t="n"/>
      <c r="F15" s="23" t="str">
        <f>IF(S_LCMv&gt;=1000,FIXED(S_LCMv/1000,2)&amp;" t",FIXED(S_LCMv,1)&amp;" kg")&amp;" CO₂e"&amp;" contre "&amp;IF(S_LCMp&gt;=1000,FIXED(S_LCMp/1000,2)&amp;" t",FIXED(S_LCMp,1)&amp;" kg")&amp;" CO₂e"</f>
        <v>0.0 kg CO₂e contre 0.0 kg CO₂e</v>
      </c>
      <c r="G15" s="24" t="n"/>
      <c r="H15" s="24" t="n"/>
      <c r="I15" s="25" t="n"/>
      <c r="J15" s="23" t="str">
        <f>IF(S_Cur,"Rythme des "&amp;P_N&amp;" derniers jours : "&amp;FIXED(S_Rate,2)&amp;" kg/jour","Bilan "&amp;S_An&amp;" contre "&amp;IF(S_PrevTot&gt;=1000,FIXED(S_PrevTot/1000,2)&amp;" t",FIXED(S_PrevTot,1)&amp;" kg")&amp;" CO₂e"&amp;" en "&amp;(S_An-1))</f>
        <v>Bilan 2026 contre 0.0 kg CO₂e en 2025</v>
      </c>
      <c r="K15" s="24" t="n"/>
      <c r="L15" s="24" t="n"/>
      <c r="M15" s="25" t="n"/>
    </row>
    <row r="17">
      <c r="B17" s="26" t="inlineStr">
        <is>
          <t>Émissions mensuelles</t>
        </is>
      </c>
      <c r="C17" s="27" t="n"/>
      <c r="D17" s="27" t="n"/>
      <c r="E17" s="27" t="n"/>
      <c r="F17" s="27" t="n"/>
      <c r="G17" s="27" t="n"/>
      <c r="H17" s="27" t="n"/>
      <c r="I17" s="27" t="n"/>
      <c r="J17" s="27" t="n"/>
      <c r="K17" s="27" t="n"/>
      <c r="L17" s="27" t="n"/>
      <c r="M17" s="27" t="n"/>
    </row>
    <row r="36">
      <c r="B36" s="26" t="inlineStr">
        <is>
          <t>Modèles les plus émetteurs</t>
        </is>
      </c>
      <c r="C36" s="27" t="n"/>
      <c r="D36" s="27" t="n"/>
      <c r="E36" s="27" t="n"/>
      <c r="F36" s="27" t="n"/>
      <c r="G36" s="27" t="n"/>
      <c r="H36" s="27" t="n"/>
      <c r="I36" s="27" t="n"/>
      <c r="J36" s="27" t="n"/>
      <c r="K36" s="27" t="n"/>
      <c r="L36" s="27" t="n"/>
      <c r="M36" s="27" t="n"/>
    </row>
    <row r="37">
      <c r="B37" s="29" t="inlineStr">
        <is>
          <t>Rang</t>
        </is>
      </c>
      <c r="C37" s="30" t="inlineStr">
        <is>
          <t>Modèle</t>
        </is>
      </c>
      <c r="D37" s="31" t="n"/>
      <c r="E37" s="31" t="n"/>
      <c r="F37" s="31" t="n"/>
      <c r="G37" s="32" t="inlineStr">
        <is>
          <t>kgCO₂e</t>
        </is>
      </c>
      <c r="H37" s="31" t="n"/>
      <c r="I37" s="32" t="inlineStr">
        <is>
          <t>Part</t>
        </is>
      </c>
      <c r="J37" s="30" t="inlineStr">
        <is>
          <t>Source du FE</t>
        </is>
      </c>
      <c r="K37" s="31" t="n"/>
      <c r="L37" s="31" t="n"/>
      <c r="M37" s="31" t="n"/>
    </row>
    <row r="38">
      <c r="B38" s="33" t="str">
        <f>Empreinte!B40</f>
        <v/>
      </c>
      <c r="C38" s="34" t="str">
        <f>Empreinte!C40</f>
        <v/>
      </c>
      <c r="D38" s="35" t="n"/>
      <c r="E38" s="35" t="n"/>
      <c r="F38" s="35" t="n"/>
      <c r="G38" s="36" t="str">
        <f>Empreinte!D40</f>
        <v/>
      </c>
      <c r="H38" s="35" t="n"/>
      <c r="I38" s="37" t="str">
        <f>Empreinte!E40</f>
        <v/>
      </c>
      <c r="J38" s="38" t="str">
        <f>Empreinte!K40</f>
        <v/>
      </c>
      <c r="K38" s="35" t="n"/>
      <c r="L38" s="35" t="n"/>
      <c r="M38" s="35" t="n"/>
    </row>
    <row r="39">
      <c r="B39" s="33" t="str">
        <f>Empreinte!B41</f>
        <v/>
      </c>
      <c r="C39" s="34" t="str">
        <f>Empreinte!C41</f>
        <v/>
      </c>
      <c r="D39" s="35" t="n"/>
      <c r="E39" s="35" t="n"/>
      <c r="F39" s="35" t="n"/>
      <c r="G39" s="36" t="str">
        <f>Empreinte!D41</f>
        <v/>
      </c>
      <c r="H39" s="35" t="n"/>
      <c r="I39" s="37" t="str">
        <f>Empreinte!E41</f>
        <v/>
      </c>
      <c r="J39" s="38" t="str">
        <f>Empreinte!K41</f>
        <v/>
      </c>
      <c r="K39" s="35" t="n"/>
      <c r="L39" s="35" t="n"/>
      <c r="M39" s="35" t="n"/>
    </row>
    <row r="40">
      <c r="B40" s="33" t="str">
        <f>Empreinte!B42</f>
        <v/>
      </c>
      <c r="C40" s="34" t="str">
        <f>Empreinte!C42</f>
        <v/>
      </c>
      <c r="D40" s="35" t="n"/>
      <c r="E40" s="35" t="n"/>
      <c r="F40" s="35" t="n"/>
      <c r="G40" s="36" t="str">
        <f>Empreinte!D42</f>
        <v/>
      </c>
      <c r="H40" s="35" t="n"/>
      <c r="I40" s="37" t="str">
        <f>Empreinte!E42</f>
        <v/>
      </c>
      <c r="J40" s="38" t="str">
        <f>Empreinte!K42</f>
        <v/>
      </c>
      <c r="K40" s="35" t="n"/>
      <c r="L40" s="35" t="n"/>
      <c r="M40" s="35" t="n"/>
    </row>
    <row r="41">
      <c r="B41" s="33" t="str">
        <f>Empreinte!B43</f>
        <v/>
      </c>
      <c r="C41" s="34" t="str">
        <f>Empreinte!C43</f>
        <v/>
      </c>
      <c r="D41" s="35" t="n"/>
      <c r="E41" s="35" t="n"/>
      <c r="F41" s="35" t="n"/>
      <c r="G41" s="36" t="str">
        <f>Empreinte!D43</f>
        <v/>
      </c>
      <c r="H41" s="35" t="n"/>
      <c r="I41" s="37" t="str">
        <f>Empreinte!E43</f>
        <v/>
      </c>
      <c r="J41" s="38" t="str">
        <f>Empreinte!K43</f>
        <v/>
      </c>
      <c r="K41" s="35" t="n"/>
      <c r="L41" s="35" t="n"/>
      <c r="M41" s="35" t="n"/>
    </row>
    <row r="42">
      <c r="B42" s="33" t="str">
        <f>Empreinte!B44</f>
        <v/>
      </c>
      <c r="C42" s="34" t="str">
        <f>Empreinte!C44</f>
        <v/>
      </c>
      <c r="D42" s="35" t="n"/>
      <c r="E42" s="35" t="n"/>
      <c r="F42" s="35" t="n"/>
      <c r="G42" s="36" t="str">
        <f>Empreinte!D44</f>
        <v/>
      </c>
      <c r="H42" s="35" t="n"/>
      <c r="I42" s="37" t="str">
        <f>Empreinte!E44</f>
        <v/>
      </c>
      <c r="J42" s="38" t="str">
        <f>Empreinte!K44</f>
        <v/>
      </c>
      <c r="K42" s="35" t="n"/>
      <c r="L42" s="35" t="n"/>
      <c r="M42" s="35" t="n"/>
    </row>
    <row r="45">
      <c r="B45" s="26" t="inlineStr">
        <is>
          <t>À retenir</t>
        </is>
      </c>
      <c r="C45" s="27" t="n"/>
      <c r="D45" s="27" t="n"/>
      <c r="E45" s="27" t="n"/>
      <c r="F45" s="27" t="n"/>
      <c r="G45" s="27" t="n"/>
      <c r="H45" s="27" t="n"/>
      <c r="I45" s="27" t="n"/>
      <c r="J45" s="27" t="n"/>
      <c r="K45" s="27" t="n"/>
      <c r="L45" s="27" t="n"/>
      <c r="M45" s="27" t="n"/>
    </row>
    <row r="46" ht="30" customHeight="1">
      <c r="B46" s="4" t="str">
        <f>IF(S_Has,"En "&amp;S_An&amp;", l'usage de GitHub Copilot a émis "&amp;IF(S_YTD&gt;=1000,FIXED(S_YTD/1000,2)&amp;" t",FIXED(S_YTD,1)&amp;" kg")&amp;" CO₂e"&amp;" (fourchette "&amp;IF(S_YTD*P_Lo&gt;=1000,FIXED(S_YTD*P_Lo/1000,2)&amp;" t",FIXED(S_YTD*P_Lo,1)&amp;" kg")&amp;" CO₂e"&amp;" à "&amp;IF(S_YTD*P_Hi&gt;=1000,FIXED(S_YTD*P_Hi/1000,2)&amp;" t",FIXED(S_YTD*P_Hi,1)&amp;" kg")&amp;" CO₂e"&amp;") pour "&amp;IF(S_TO&gt;=1000000000,FIXED(S_TO/1000000000,1)&amp;" Mds",FIXED(S_TO/1000000,1)&amp;" M")&amp;" de tokens équivalent output.","Importez un export pour obtenir la synthèse.")</f>
        <v>Importez un export pour obtenir la synthèse.</v>
      </c>
    </row>
    <row r="47" ht="30" customHeight="1">
      <c r="B47" s="4" t="str">
        <f>IF(Empreinte!C40="","","Le premier modèle, "&amp;Empreinte!C40&amp;", représente "&amp;FIXED(Empreinte!E40*100,0)&amp;" % des émissions de l'année ; les cinq premiers en représentent "&amp;FIXED(SUM(Empreinte!E40:E44)*100,0)&amp;" %.")</f>
        <v/>
      </c>
    </row>
    <row r="48" ht="30" customHeight="1">
      <c r="B48" s="4" t="str">
        <f>IF(NOT(S_Has),"",IF(S_Cur,"Au rythme des "&amp;P_N&amp;" derniers jours, l'année se terminerait vers "&amp;IF(S_Land&gt;=1000,FIXED(S_Land/1000,2)&amp;" t",FIXED(S_Land,1)&amp;" kg")&amp;" CO₂e"&amp;IF(S_PrevTot&gt;0," ("&amp;IF(S_Land&gt;=S_PrevTot,"+","")&amp;FIXED((S_Land/S_PrevTot-1)*100,0)&amp;" % par rapport à "&amp;(S_An-1)&amp;").","."),"L'année "&amp;S_An&amp;" est close : bilan de "&amp;IF(S_YTD&gt;=1000,FIXED(S_YTD/1000,2)&amp;" t",FIXED(S_YTD,1)&amp;" kg")&amp;" CO₂e"&amp;"."))</f>
        <v/>
      </c>
    </row>
    <row r="49" ht="30" customHeight="1">
      <c r="B49" s="4" t="str">
        <f>IF(S_Brut&gt;0,"Intensité : "&amp;FIXED(S_YTD*1000/S_Brut,1)&amp;" gCO₂e par dollar facturé (montant brut).","")</f>
        <v/>
      </c>
    </row>
  </sheetData>
  <mergeCells count="40">
    <mergeCell ref="E10:G10"/>
    <mergeCell ref="F13:I13"/>
    <mergeCell ref="B48:M48"/>
    <mergeCell ref="C39:F39"/>
    <mergeCell ref="B8:D8"/>
    <mergeCell ref="G42:H42"/>
    <mergeCell ref="B15:E15"/>
    <mergeCell ref="C38:F38"/>
    <mergeCell ref="E9:G9"/>
    <mergeCell ref="G39:H39"/>
    <mergeCell ref="B10:D10"/>
    <mergeCell ref="F14:I14"/>
    <mergeCell ref="K8:M8"/>
    <mergeCell ref="J42:M42"/>
    <mergeCell ref="G38:H38"/>
    <mergeCell ref="J39:M39"/>
    <mergeCell ref="B9:D9"/>
    <mergeCell ref="J38:M38"/>
    <mergeCell ref="J14:M14"/>
    <mergeCell ref="C42:F42"/>
    <mergeCell ref="B49:M49"/>
    <mergeCell ref="J13:M13"/>
    <mergeCell ref="K10:M10"/>
    <mergeCell ref="J40:M40"/>
    <mergeCell ref="H8:J8"/>
    <mergeCell ref="F15:I15"/>
    <mergeCell ref="J15:M15"/>
    <mergeCell ref="C41:F41"/>
    <mergeCell ref="B14:E14"/>
    <mergeCell ref="C40:F40"/>
    <mergeCell ref="B47:M47"/>
    <mergeCell ref="H10:J10"/>
    <mergeCell ref="K9:M9"/>
    <mergeCell ref="B13:E13"/>
    <mergeCell ref="E8:G8"/>
    <mergeCell ref="G41:H41"/>
    <mergeCell ref="B46:M46"/>
    <mergeCell ref="H9:J9"/>
    <mergeCell ref="G40:H40"/>
    <mergeCell ref="J41:M41"/>
  </mergeCells>
  <dataValidations count="1">
    <dataValidation sqref="C6" showDropDown="0" showInputMessage="0" showErrorMessage="0" allowBlank="0" type="whole" operator="between">
      <formula1>2000</formula1>
      <formula2>2100</formula2>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0008F"/>
    <outlinePr summaryBelow="1" summaryRight="1"/>
    <pageSetUpPr/>
  </sheetPr>
  <dimension ref="B2:L128"/>
  <sheetViews>
    <sheetView showGridLines="0" tabSelected="0" zoomScale="90" workbookViewId="0">
      <selection activeCell="A1" sqref="A1"/>
    </sheetView>
  </sheetViews>
  <sheetFormatPr baseColWidth="8" defaultRowHeight="15"/>
  <cols>
    <col width="2.5" customWidth="1" min="1" max="1"/>
    <col width="10" customWidth="1" min="2" max="2"/>
    <col width="30" customWidth="1" min="3" max="3"/>
    <col width="13" customWidth="1" min="4" max="4"/>
    <col width="13" customWidth="1" min="5" max="5"/>
    <col width="13" customWidth="1" min="6" max="6"/>
    <col width="13" customWidth="1" min="7" max="7"/>
    <col width="13" customWidth="1" min="8" max="8"/>
    <col width="15" customWidth="1" min="9" max="9"/>
    <col width="13" customWidth="1" min="10" max="10"/>
    <col width="20" customWidth="1" min="11" max="11"/>
    <col width="4" customWidth="1" min="12" max="12"/>
  </cols>
  <sheetData>
    <row r="2" ht="28" customHeight="1">
      <c r="B2" s="1" t="inlineStr">
        <is>
          <t>Empreinte</t>
        </is>
      </c>
    </row>
    <row r="3">
      <c r="B3" s="2" t="str">
        <f>"Année "&amp;S_An&amp;" · facteurs : "&amp;P_Source&amp;" · mix "&amp;P_MixNom&amp;IF(S_Cur," · projection au rythme des "&amp;P_N&amp;" derniers jours","")</f>
        <v>Année 2026 · facteurs : Table fournie · mix France (2020, EEA)</v>
      </c>
    </row>
    <row r="5">
      <c r="B5" s="26" t="inlineStr">
        <is>
          <t>Mois par mois</t>
        </is>
      </c>
      <c r="C5" s="27" t="n"/>
      <c r="D5" s="27" t="n"/>
      <c r="E5" s="27" t="n"/>
      <c r="F5" s="27" t="n"/>
      <c r="G5" s="27" t="n"/>
      <c r="H5" s="27" t="n"/>
      <c r="I5" s="27" t="n"/>
      <c r="J5" s="27" t="n"/>
      <c r="K5" s="27" t="n"/>
    </row>
    <row r="6" ht="30" customHeight="1">
      <c r="B6" s="39" t="inlineStr">
        <is>
          <t>Mois</t>
        </is>
      </c>
      <c r="C6" s="40" t="inlineStr">
        <is>
          <t>Réel (kgCO₂e)</t>
        </is>
      </c>
      <c r="D6" s="40" t="inlineStr">
        <is>
          <t>Projeté (kgCO₂e)</t>
        </is>
      </c>
      <c r="E6" s="40" t="inlineStr">
        <is>
          <t>Total (kgCO₂e)</t>
        </is>
      </c>
      <c r="F6" s="40" t="inlineStr">
        <is>
          <t>Cumul réel</t>
        </is>
      </c>
      <c r="G6" s="40" t="inlineStr">
        <is>
          <t>Cumul projeté</t>
        </is>
      </c>
      <c r="H6" s="40" t="inlineStr">
        <is>
          <t>Énergie</t>
        </is>
      </c>
      <c r="I6" s="40" t="inlineStr">
        <is>
          <t>Tokens éq. output</t>
        </is>
      </c>
      <c r="J6" s="40" t="inlineStr">
        <is>
          <t>Coût brut</t>
        </is>
      </c>
      <c r="K6" s="40" t="inlineStr">
        <is>
          <t>gCO₂e par $</t>
        </is>
      </c>
    </row>
    <row r="7">
      <c r="B7" s="7" t="inlineStr">
        <is>
          <t>janv.</t>
        </is>
      </c>
      <c r="C7" s="41">
        <f>SUMIFS(D_CO2,D_An,S_An,D_Mois,1)</f>
        <v>0</v>
      </c>
      <c r="D7" s="42">
        <f>IF(S_Cur,S_Rate*MAX(0,EOMONTH(DATE(S_An,1,1),0)-MAX(S_Last,DATE(S_An,1,1)-1)),0)</f>
        <v>0</v>
      </c>
      <c r="E7" s="43">
        <f>C7+D7</f>
        <v>0</v>
      </c>
      <c r="F7" s="41">
        <f>SUM(C$7:C7)</f>
        <v>0</v>
      </c>
      <c r="G7" s="42">
        <f>SUM(D$7:D7)</f>
        <v>0</v>
      </c>
      <c r="H7" s="44">
        <f>SUMIFS(D_kWh,D_An,S_An,D_Mois,1)</f>
        <v>0</v>
      </c>
      <c r="I7" s="45">
        <f>SUMIFS(D_TO,D_An,S_An,D_Mois,1)</f>
        <v>0</v>
      </c>
      <c r="J7" s="46">
        <f>SUMIFS(D_Brut,D_An,S_An,D_Mois,1)</f>
        <v>0</v>
      </c>
      <c r="K7" s="41" t="str">
        <f>IF(J7&gt;0,C7*1000/J7,"")</f>
        <v/>
      </c>
    </row>
    <row r="8">
      <c r="B8" s="7" t="inlineStr">
        <is>
          <t>févr.</t>
        </is>
      </c>
      <c r="C8" s="41">
        <f>SUMIFS(D_CO2,D_An,S_An,D_Mois,2)</f>
        <v>0</v>
      </c>
      <c r="D8" s="42">
        <f>IF(S_Cur,S_Rate*MAX(0,EOMONTH(DATE(S_An,2,1),0)-MAX(S_Last,DATE(S_An,2,1)-1)),0)</f>
        <v>0</v>
      </c>
      <c r="E8" s="43">
        <f>C8+D8</f>
        <v>0</v>
      </c>
      <c r="F8" s="41">
        <f>SUM(C$7:C8)</f>
        <v>0</v>
      </c>
      <c r="G8" s="42">
        <f>SUM(D$7:D8)</f>
        <v>0</v>
      </c>
      <c r="H8" s="44">
        <f>SUMIFS(D_kWh,D_An,S_An,D_Mois,2)</f>
        <v>0</v>
      </c>
      <c r="I8" s="45">
        <f>SUMIFS(D_TO,D_An,S_An,D_Mois,2)</f>
        <v>0</v>
      </c>
      <c r="J8" s="46">
        <f>SUMIFS(D_Brut,D_An,S_An,D_Mois,2)</f>
        <v>0</v>
      </c>
      <c r="K8" s="41" t="str">
        <f>IF(J8&gt;0,C8*1000/J8,"")</f>
        <v/>
      </c>
    </row>
    <row r="9">
      <c r="B9" s="7" t="inlineStr">
        <is>
          <t>mars</t>
        </is>
      </c>
      <c r="C9" s="41">
        <f>SUMIFS(D_CO2,D_An,S_An,D_Mois,3)</f>
        <v>0</v>
      </c>
      <c r="D9" s="42">
        <f>IF(S_Cur,S_Rate*MAX(0,EOMONTH(DATE(S_An,3,1),0)-MAX(S_Last,DATE(S_An,3,1)-1)),0)</f>
        <v>0</v>
      </c>
      <c r="E9" s="43">
        <f>C9+D9</f>
        <v>0</v>
      </c>
      <c r="F9" s="41">
        <f>SUM(C$7:C9)</f>
        <v>0</v>
      </c>
      <c r="G9" s="42">
        <f>SUM(D$7:D9)</f>
        <v>0</v>
      </c>
      <c r="H9" s="44">
        <f>SUMIFS(D_kWh,D_An,S_An,D_Mois,3)</f>
        <v>0</v>
      </c>
      <c r="I9" s="45">
        <f>SUMIFS(D_TO,D_An,S_An,D_Mois,3)</f>
        <v>0</v>
      </c>
      <c r="J9" s="46">
        <f>SUMIFS(D_Brut,D_An,S_An,D_Mois,3)</f>
        <v>0</v>
      </c>
      <c r="K9" s="41" t="str">
        <f>IF(J9&gt;0,C9*1000/J9,"")</f>
        <v/>
      </c>
    </row>
    <row r="10">
      <c r="B10" s="7" t="inlineStr">
        <is>
          <t>avr.</t>
        </is>
      </c>
      <c r="C10" s="41">
        <f>SUMIFS(D_CO2,D_An,S_An,D_Mois,4)</f>
        <v>0</v>
      </c>
      <c r="D10" s="42">
        <f>IF(S_Cur,S_Rate*MAX(0,EOMONTH(DATE(S_An,4,1),0)-MAX(S_Last,DATE(S_An,4,1)-1)),0)</f>
        <v>0</v>
      </c>
      <c r="E10" s="43">
        <f>C10+D10</f>
        <v>0</v>
      </c>
      <c r="F10" s="41">
        <f>SUM(C$7:C10)</f>
        <v>0</v>
      </c>
      <c r="G10" s="42">
        <f>SUM(D$7:D10)</f>
        <v>0</v>
      </c>
      <c r="H10" s="44">
        <f>SUMIFS(D_kWh,D_An,S_An,D_Mois,4)</f>
        <v>0</v>
      </c>
      <c r="I10" s="45">
        <f>SUMIFS(D_TO,D_An,S_An,D_Mois,4)</f>
        <v>0</v>
      </c>
      <c r="J10" s="46">
        <f>SUMIFS(D_Brut,D_An,S_An,D_Mois,4)</f>
        <v>0</v>
      </c>
      <c r="K10" s="41" t="str">
        <f>IF(J10&gt;0,C10*1000/J10,"")</f>
        <v/>
      </c>
    </row>
    <row r="11">
      <c r="B11" s="7" t="inlineStr">
        <is>
          <t>mai</t>
        </is>
      </c>
      <c r="C11" s="41">
        <f>SUMIFS(D_CO2,D_An,S_An,D_Mois,5)</f>
        <v>0</v>
      </c>
      <c r="D11" s="42">
        <f>IF(S_Cur,S_Rate*MAX(0,EOMONTH(DATE(S_An,5,1),0)-MAX(S_Last,DATE(S_An,5,1)-1)),0)</f>
        <v>0</v>
      </c>
      <c r="E11" s="43">
        <f>C11+D11</f>
        <v>0</v>
      </c>
      <c r="F11" s="41">
        <f>SUM(C$7:C11)</f>
        <v>0</v>
      </c>
      <c r="G11" s="42">
        <f>SUM(D$7:D11)</f>
        <v>0</v>
      </c>
      <c r="H11" s="44">
        <f>SUMIFS(D_kWh,D_An,S_An,D_Mois,5)</f>
        <v>0</v>
      </c>
      <c r="I11" s="45">
        <f>SUMIFS(D_TO,D_An,S_An,D_Mois,5)</f>
        <v>0</v>
      </c>
      <c r="J11" s="46">
        <f>SUMIFS(D_Brut,D_An,S_An,D_Mois,5)</f>
        <v>0</v>
      </c>
      <c r="K11" s="41" t="str">
        <f>IF(J11&gt;0,C11*1000/J11,"")</f>
        <v/>
      </c>
    </row>
    <row r="12">
      <c r="B12" s="7" t="inlineStr">
        <is>
          <t>juin</t>
        </is>
      </c>
      <c r="C12" s="41">
        <f>SUMIFS(D_CO2,D_An,S_An,D_Mois,6)</f>
        <v>0</v>
      </c>
      <c r="D12" s="42">
        <f>IF(S_Cur,S_Rate*MAX(0,EOMONTH(DATE(S_An,6,1),0)-MAX(S_Last,DATE(S_An,6,1)-1)),0)</f>
        <v>0</v>
      </c>
      <c r="E12" s="43">
        <f>C12+D12</f>
        <v>0</v>
      </c>
      <c r="F12" s="41">
        <f>SUM(C$7:C12)</f>
        <v>0</v>
      </c>
      <c r="G12" s="42">
        <f>SUM(D$7:D12)</f>
        <v>0</v>
      </c>
      <c r="H12" s="44">
        <f>SUMIFS(D_kWh,D_An,S_An,D_Mois,6)</f>
        <v>0</v>
      </c>
      <c r="I12" s="45">
        <f>SUMIFS(D_TO,D_An,S_An,D_Mois,6)</f>
        <v>0</v>
      </c>
      <c r="J12" s="46">
        <f>SUMIFS(D_Brut,D_An,S_An,D_Mois,6)</f>
        <v>0</v>
      </c>
      <c r="K12" s="41" t="str">
        <f>IF(J12&gt;0,C12*1000/J12,"")</f>
        <v/>
      </c>
    </row>
    <row r="13">
      <c r="B13" s="7" t="inlineStr">
        <is>
          <t>juil.</t>
        </is>
      </c>
      <c r="C13" s="41">
        <f>SUMIFS(D_CO2,D_An,S_An,D_Mois,7)</f>
        <v>0</v>
      </c>
      <c r="D13" s="42">
        <f>IF(S_Cur,S_Rate*MAX(0,EOMONTH(DATE(S_An,7,1),0)-MAX(S_Last,DATE(S_An,7,1)-1)),0)</f>
        <v>0</v>
      </c>
      <c r="E13" s="43">
        <f>C13+D13</f>
        <v>0</v>
      </c>
      <c r="F13" s="41">
        <f>SUM(C$7:C13)</f>
        <v>0</v>
      </c>
      <c r="G13" s="42">
        <f>SUM(D$7:D13)</f>
        <v>0</v>
      </c>
      <c r="H13" s="44">
        <f>SUMIFS(D_kWh,D_An,S_An,D_Mois,7)</f>
        <v>0</v>
      </c>
      <c r="I13" s="45">
        <f>SUMIFS(D_TO,D_An,S_An,D_Mois,7)</f>
        <v>0</v>
      </c>
      <c r="J13" s="46">
        <f>SUMIFS(D_Brut,D_An,S_An,D_Mois,7)</f>
        <v>0</v>
      </c>
      <c r="K13" s="41" t="str">
        <f>IF(J13&gt;0,C13*1000/J13,"")</f>
        <v/>
      </c>
    </row>
    <row r="14">
      <c r="B14" s="7" t="inlineStr">
        <is>
          <t>août</t>
        </is>
      </c>
      <c r="C14" s="41">
        <f>SUMIFS(D_CO2,D_An,S_An,D_Mois,8)</f>
        <v>0</v>
      </c>
      <c r="D14" s="42">
        <f>IF(S_Cur,S_Rate*MAX(0,EOMONTH(DATE(S_An,8,1),0)-MAX(S_Last,DATE(S_An,8,1)-1)),0)</f>
        <v>0</v>
      </c>
      <c r="E14" s="43">
        <f>C14+D14</f>
        <v>0</v>
      </c>
      <c r="F14" s="41">
        <f>SUM(C$7:C14)</f>
        <v>0</v>
      </c>
      <c r="G14" s="42">
        <f>SUM(D$7:D14)</f>
        <v>0</v>
      </c>
      <c r="H14" s="44">
        <f>SUMIFS(D_kWh,D_An,S_An,D_Mois,8)</f>
        <v>0</v>
      </c>
      <c r="I14" s="45">
        <f>SUMIFS(D_TO,D_An,S_An,D_Mois,8)</f>
        <v>0</v>
      </c>
      <c r="J14" s="46">
        <f>SUMIFS(D_Brut,D_An,S_An,D_Mois,8)</f>
        <v>0</v>
      </c>
      <c r="K14" s="41" t="str">
        <f>IF(J14&gt;0,C14*1000/J14,"")</f>
        <v/>
      </c>
    </row>
    <row r="15">
      <c r="B15" s="7" t="inlineStr">
        <is>
          <t>sept.</t>
        </is>
      </c>
      <c r="C15" s="41">
        <f>SUMIFS(D_CO2,D_An,S_An,D_Mois,9)</f>
        <v>0</v>
      </c>
      <c r="D15" s="42">
        <f>IF(S_Cur,S_Rate*MAX(0,EOMONTH(DATE(S_An,9,1),0)-MAX(S_Last,DATE(S_An,9,1)-1)),0)</f>
        <v>0</v>
      </c>
      <c r="E15" s="43">
        <f>C15+D15</f>
        <v>0</v>
      </c>
      <c r="F15" s="41">
        <f>SUM(C$7:C15)</f>
        <v>0</v>
      </c>
      <c r="G15" s="42">
        <f>SUM(D$7:D15)</f>
        <v>0</v>
      </c>
      <c r="H15" s="44">
        <f>SUMIFS(D_kWh,D_An,S_An,D_Mois,9)</f>
        <v>0</v>
      </c>
      <c r="I15" s="45">
        <f>SUMIFS(D_TO,D_An,S_An,D_Mois,9)</f>
        <v>0</v>
      </c>
      <c r="J15" s="46">
        <f>SUMIFS(D_Brut,D_An,S_An,D_Mois,9)</f>
        <v>0</v>
      </c>
      <c r="K15" s="41" t="str">
        <f>IF(J15&gt;0,C15*1000/J15,"")</f>
        <v/>
      </c>
    </row>
    <row r="16">
      <c r="B16" s="7" t="inlineStr">
        <is>
          <t>oct.</t>
        </is>
      </c>
      <c r="C16" s="41">
        <f>SUMIFS(D_CO2,D_An,S_An,D_Mois,10)</f>
        <v>0</v>
      </c>
      <c r="D16" s="42">
        <f>IF(S_Cur,S_Rate*MAX(0,EOMONTH(DATE(S_An,10,1),0)-MAX(S_Last,DATE(S_An,10,1)-1)),0)</f>
        <v>0</v>
      </c>
      <c r="E16" s="43">
        <f>C16+D16</f>
        <v>0</v>
      </c>
      <c r="F16" s="41">
        <f>SUM(C$7:C16)</f>
        <v>0</v>
      </c>
      <c r="G16" s="42">
        <f>SUM(D$7:D16)</f>
        <v>0</v>
      </c>
      <c r="H16" s="44">
        <f>SUMIFS(D_kWh,D_An,S_An,D_Mois,10)</f>
        <v>0</v>
      </c>
      <c r="I16" s="45">
        <f>SUMIFS(D_TO,D_An,S_An,D_Mois,10)</f>
        <v>0</v>
      </c>
      <c r="J16" s="46">
        <f>SUMIFS(D_Brut,D_An,S_An,D_Mois,10)</f>
        <v>0</v>
      </c>
      <c r="K16" s="41" t="str">
        <f>IF(J16&gt;0,C16*1000/J16,"")</f>
        <v/>
      </c>
    </row>
    <row r="17">
      <c r="B17" s="7" t="inlineStr">
        <is>
          <t>nov.</t>
        </is>
      </c>
      <c r="C17" s="41">
        <f>SUMIFS(D_CO2,D_An,S_An,D_Mois,11)</f>
        <v>0</v>
      </c>
      <c r="D17" s="42">
        <f>IF(S_Cur,S_Rate*MAX(0,EOMONTH(DATE(S_An,11,1),0)-MAX(S_Last,DATE(S_An,11,1)-1)),0)</f>
        <v>0</v>
      </c>
      <c r="E17" s="43">
        <f>C17+D17</f>
        <v>0</v>
      </c>
      <c r="F17" s="41">
        <f>SUM(C$7:C17)</f>
        <v>0</v>
      </c>
      <c r="G17" s="42">
        <f>SUM(D$7:D17)</f>
        <v>0</v>
      </c>
      <c r="H17" s="44">
        <f>SUMIFS(D_kWh,D_An,S_An,D_Mois,11)</f>
        <v>0</v>
      </c>
      <c r="I17" s="45">
        <f>SUMIFS(D_TO,D_An,S_An,D_Mois,11)</f>
        <v>0</v>
      </c>
      <c r="J17" s="46">
        <f>SUMIFS(D_Brut,D_An,S_An,D_Mois,11)</f>
        <v>0</v>
      </c>
      <c r="K17" s="41" t="str">
        <f>IF(J17&gt;0,C17*1000/J17,"")</f>
        <v/>
      </c>
    </row>
    <row r="18">
      <c r="B18" s="7" t="inlineStr">
        <is>
          <t>déc.</t>
        </is>
      </c>
      <c r="C18" s="41">
        <f>SUMIFS(D_CO2,D_An,S_An,D_Mois,12)</f>
        <v>0</v>
      </c>
      <c r="D18" s="42">
        <f>IF(S_Cur,S_Rate*MAX(0,EOMONTH(DATE(S_An,12,1),0)-MAX(S_Last,DATE(S_An,12,1)-1)),0)</f>
        <v>0</v>
      </c>
      <c r="E18" s="43">
        <f>C18+D18</f>
        <v>0</v>
      </c>
      <c r="F18" s="41">
        <f>SUM(C$7:C18)</f>
        <v>0</v>
      </c>
      <c r="G18" s="42">
        <f>SUM(D$7:D18)</f>
        <v>0</v>
      </c>
      <c r="H18" s="44">
        <f>SUMIFS(D_kWh,D_An,S_An,D_Mois,12)</f>
        <v>0</v>
      </c>
      <c r="I18" s="45">
        <f>SUMIFS(D_TO,D_An,S_An,D_Mois,12)</f>
        <v>0</v>
      </c>
      <c r="J18" s="46">
        <f>SUMIFS(D_Brut,D_An,S_An,D_Mois,12)</f>
        <v>0</v>
      </c>
      <c r="K18" s="41" t="str">
        <f>IF(J18&gt;0,C18*1000/J18,"")</f>
        <v/>
      </c>
    </row>
    <row r="19">
      <c r="B19" s="47" t="inlineStr">
        <is>
          <t>Total</t>
        </is>
      </c>
      <c r="C19" s="48">
        <f>SUM(C7:C18)</f>
        <v>0</v>
      </c>
      <c r="D19" s="48">
        <f>SUM(D7:D18)</f>
        <v>0</v>
      </c>
      <c r="E19" s="48">
        <f>SUM(E7:E18)</f>
        <v>0</v>
      </c>
      <c r="F19" s="49" t="n"/>
      <c r="G19" s="49" t="n"/>
      <c r="H19" s="50">
        <f>SUM(H7:H18)</f>
        <v>0</v>
      </c>
      <c r="I19" s="51">
        <f>SUM(I7:I18)</f>
        <v>0</v>
      </c>
      <c r="J19" s="52">
        <f>SUM(J7:J18)</f>
        <v>0</v>
      </c>
      <c r="K19" s="48" t="str">
        <f>IF(J19&gt;0,C19*1000/J19,"")</f>
        <v/>
      </c>
    </row>
    <row r="20">
      <c r="B20" s="14" t="inlineStr">
        <is>
          <t>Projeté : rythme quotidien moyen des derniers jours (réglage dans Calcul), appliqué aux jours restants jusqu'au 31 décembre.</t>
        </is>
      </c>
    </row>
    <row r="22">
      <c r="B22" s="26" t="inlineStr">
        <is>
          <t>Par modèle (8 premiers modèles de l'année + autres), kgCO₂e</t>
        </is>
      </c>
      <c r="C22" s="27" t="n"/>
      <c r="D22" s="27" t="n"/>
      <c r="E22" s="27" t="n"/>
      <c r="F22" s="27" t="n"/>
      <c r="G22" s="27" t="n"/>
      <c r="H22" s="27" t="n"/>
      <c r="I22" s="27" t="n"/>
      <c r="J22" s="27" t="n"/>
      <c r="K22" s="27" t="n"/>
    </row>
    <row r="23" ht="30" customHeight="1">
      <c r="B23" s="53" t="inlineStr">
        <is>
          <t>Mois</t>
        </is>
      </c>
      <c r="C23" s="54" t="str">
        <f>IF(INDEX(I_Top,1)="","—",INDEX(I_Top,1))</f>
        <v>—</v>
      </c>
      <c r="D23" s="54" t="str">
        <f>IF(INDEX(I_Top,2)="","—",INDEX(I_Top,2))</f>
        <v>—</v>
      </c>
      <c r="E23" s="54" t="str">
        <f>IF(INDEX(I_Top,3)="","—",INDEX(I_Top,3))</f>
        <v>—</v>
      </c>
      <c r="F23" s="54" t="str">
        <f>IF(INDEX(I_Top,4)="","—",INDEX(I_Top,4))</f>
        <v>—</v>
      </c>
      <c r="G23" s="54" t="str">
        <f>IF(INDEX(I_Top,5)="","—",INDEX(I_Top,5))</f>
        <v>—</v>
      </c>
      <c r="H23" s="54" t="str">
        <f>IF(INDEX(I_Top,6)="","—",INDEX(I_Top,6))</f>
        <v>—</v>
      </c>
      <c r="I23" s="54" t="str">
        <f>IF(INDEX(I_Top,7)="","—",INDEX(I_Top,7))</f>
        <v>—</v>
      </c>
      <c r="J23" s="54" t="str">
        <f>IF(INDEX(I_Top,8)="","—",INDEX(I_Top,8))</f>
        <v>—</v>
      </c>
      <c r="K23" s="55" t="inlineStr">
        <is>
          <t>Autres</t>
        </is>
      </c>
    </row>
    <row r="24">
      <c r="B24" s="7" t="inlineStr">
        <is>
          <t>janv.</t>
        </is>
      </c>
      <c r="C24" s="41">
        <f>IF(INDEX(I_Top,1)="",0,SUMIFS(D_CO2,D_Grp,INDEX(I_Top,1),D_An,S_An,D_Mois,1))</f>
        <v>0</v>
      </c>
      <c r="D24" s="41">
        <f>IF(INDEX(I_Top,2)="",0,SUMIFS(D_CO2,D_Grp,INDEX(I_Top,2),D_An,S_An,D_Mois,1))</f>
        <v>0</v>
      </c>
      <c r="E24" s="41">
        <f>IF(INDEX(I_Top,3)="",0,SUMIFS(D_CO2,D_Grp,INDEX(I_Top,3),D_An,S_An,D_Mois,1))</f>
        <v>0</v>
      </c>
      <c r="F24" s="41">
        <f>IF(INDEX(I_Top,4)="",0,SUMIFS(D_CO2,D_Grp,INDEX(I_Top,4),D_An,S_An,D_Mois,1))</f>
        <v>0</v>
      </c>
      <c r="G24" s="41">
        <f>IF(INDEX(I_Top,5)="",0,SUMIFS(D_CO2,D_Grp,INDEX(I_Top,5),D_An,S_An,D_Mois,1))</f>
        <v>0</v>
      </c>
      <c r="H24" s="41">
        <f>IF(INDEX(I_Top,6)="",0,SUMIFS(D_CO2,D_Grp,INDEX(I_Top,6),D_An,S_An,D_Mois,1))</f>
        <v>0</v>
      </c>
      <c r="I24" s="41">
        <f>IF(INDEX(I_Top,7)="",0,SUMIFS(D_CO2,D_Grp,INDEX(I_Top,7),D_An,S_An,D_Mois,1))</f>
        <v>0</v>
      </c>
      <c r="J24" s="41">
        <f>IF(INDEX(I_Top,8)="",0,SUMIFS(D_CO2,D_Grp,INDEX(I_Top,8),D_An,S_An,D_Mois,1))</f>
        <v>0</v>
      </c>
      <c r="K24" s="41">
        <f>MAX(0,C7-SUM(C24:J24))</f>
        <v>0</v>
      </c>
    </row>
    <row r="25">
      <c r="B25" s="7" t="inlineStr">
        <is>
          <t>févr.</t>
        </is>
      </c>
      <c r="C25" s="41">
        <f>IF(INDEX(I_Top,1)="",0,SUMIFS(D_CO2,D_Grp,INDEX(I_Top,1),D_An,S_An,D_Mois,2))</f>
        <v>0</v>
      </c>
      <c r="D25" s="41">
        <f>IF(INDEX(I_Top,2)="",0,SUMIFS(D_CO2,D_Grp,INDEX(I_Top,2),D_An,S_An,D_Mois,2))</f>
        <v>0</v>
      </c>
      <c r="E25" s="41">
        <f>IF(INDEX(I_Top,3)="",0,SUMIFS(D_CO2,D_Grp,INDEX(I_Top,3),D_An,S_An,D_Mois,2))</f>
        <v>0</v>
      </c>
      <c r="F25" s="41">
        <f>IF(INDEX(I_Top,4)="",0,SUMIFS(D_CO2,D_Grp,INDEX(I_Top,4),D_An,S_An,D_Mois,2))</f>
        <v>0</v>
      </c>
      <c r="G25" s="41">
        <f>IF(INDEX(I_Top,5)="",0,SUMIFS(D_CO2,D_Grp,INDEX(I_Top,5),D_An,S_An,D_Mois,2))</f>
        <v>0</v>
      </c>
      <c r="H25" s="41">
        <f>IF(INDEX(I_Top,6)="",0,SUMIFS(D_CO2,D_Grp,INDEX(I_Top,6),D_An,S_An,D_Mois,2))</f>
        <v>0</v>
      </c>
      <c r="I25" s="41">
        <f>IF(INDEX(I_Top,7)="",0,SUMIFS(D_CO2,D_Grp,INDEX(I_Top,7),D_An,S_An,D_Mois,2))</f>
        <v>0</v>
      </c>
      <c r="J25" s="41">
        <f>IF(INDEX(I_Top,8)="",0,SUMIFS(D_CO2,D_Grp,INDEX(I_Top,8),D_An,S_An,D_Mois,2))</f>
        <v>0</v>
      </c>
      <c r="K25" s="41">
        <f>MAX(0,C8-SUM(C25:J25))</f>
        <v>0</v>
      </c>
    </row>
    <row r="26">
      <c r="B26" s="7" t="inlineStr">
        <is>
          <t>mars</t>
        </is>
      </c>
      <c r="C26" s="41">
        <f>IF(INDEX(I_Top,1)="",0,SUMIFS(D_CO2,D_Grp,INDEX(I_Top,1),D_An,S_An,D_Mois,3))</f>
        <v>0</v>
      </c>
      <c r="D26" s="41">
        <f>IF(INDEX(I_Top,2)="",0,SUMIFS(D_CO2,D_Grp,INDEX(I_Top,2),D_An,S_An,D_Mois,3))</f>
        <v>0</v>
      </c>
      <c r="E26" s="41">
        <f>IF(INDEX(I_Top,3)="",0,SUMIFS(D_CO2,D_Grp,INDEX(I_Top,3),D_An,S_An,D_Mois,3))</f>
        <v>0</v>
      </c>
      <c r="F26" s="41">
        <f>IF(INDEX(I_Top,4)="",0,SUMIFS(D_CO2,D_Grp,INDEX(I_Top,4),D_An,S_An,D_Mois,3))</f>
        <v>0</v>
      </c>
      <c r="G26" s="41">
        <f>IF(INDEX(I_Top,5)="",0,SUMIFS(D_CO2,D_Grp,INDEX(I_Top,5),D_An,S_An,D_Mois,3))</f>
        <v>0</v>
      </c>
      <c r="H26" s="41">
        <f>IF(INDEX(I_Top,6)="",0,SUMIFS(D_CO2,D_Grp,INDEX(I_Top,6),D_An,S_An,D_Mois,3))</f>
        <v>0</v>
      </c>
      <c r="I26" s="41">
        <f>IF(INDEX(I_Top,7)="",0,SUMIFS(D_CO2,D_Grp,INDEX(I_Top,7),D_An,S_An,D_Mois,3))</f>
        <v>0</v>
      </c>
      <c r="J26" s="41">
        <f>IF(INDEX(I_Top,8)="",0,SUMIFS(D_CO2,D_Grp,INDEX(I_Top,8),D_An,S_An,D_Mois,3))</f>
        <v>0</v>
      </c>
      <c r="K26" s="41">
        <f>MAX(0,C9-SUM(C26:J26))</f>
        <v>0</v>
      </c>
    </row>
    <row r="27">
      <c r="B27" s="7" t="inlineStr">
        <is>
          <t>avr.</t>
        </is>
      </c>
      <c r="C27" s="41">
        <f>IF(INDEX(I_Top,1)="",0,SUMIFS(D_CO2,D_Grp,INDEX(I_Top,1),D_An,S_An,D_Mois,4))</f>
        <v>0</v>
      </c>
      <c r="D27" s="41">
        <f>IF(INDEX(I_Top,2)="",0,SUMIFS(D_CO2,D_Grp,INDEX(I_Top,2),D_An,S_An,D_Mois,4))</f>
        <v>0</v>
      </c>
      <c r="E27" s="41">
        <f>IF(INDEX(I_Top,3)="",0,SUMIFS(D_CO2,D_Grp,INDEX(I_Top,3),D_An,S_An,D_Mois,4))</f>
        <v>0</v>
      </c>
      <c r="F27" s="41">
        <f>IF(INDEX(I_Top,4)="",0,SUMIFS(D_CO2,D_Grp,INDEX(I_Top,4),D_An,S_An,D_Mois,4))</f>
        <v>0</v>
      </c>
      <c r="G27" s="41">
        <f>IF(INDEX(I_Top,5)="",0,SUMIFS(D_CO2,D_Grp,INDEX(I_Top,5),D_An,S_An,D_Mois,4))</f>
        <v>0</v>
      </c>
      <c r="H27" s="41">
        <f>IF(INDEX(I_Top,6)="",0,SUMIFS(D_CO2,D_Grp,INDEX(I_Top,6),D_An,S_An,D_Mois,4))</f>
        <v>0</v>
      </c>
      <c r="I27" s="41">
        <f>IF(INDEX(I_Top,7)="",0,SUMIFS(D_CO2,D_Grp,INDEX(I_Top,7),D_An,S_An,D_Mois,4))</f>
        <v>0</v>
      </c>
      <c r="J27" s="41">
        <f>IF(INDEX(I_Top,8)="",0,SUMIFS(D_CO2,D_Grp,INDEX(I_Top,8),D_An,S_An,D_Mois,4))</f>
        <v>0</v>
      </c>
      <c r="K27" s="41">
        <f>MAX(0,C10-SUM(C27:J27))</f>
        <v>0</v>
      </c>
    </row>
    <row r="28">
      <c r="B28" s="7" t="inlineStr">
        <is>
          <t>mai</t>
        </is>
      </c>
      <c r="C28" s="41">
        <f>IF(INDEX(I_Top,1)="",0,SUMIFS(D_CO2,D_Grp,INDEX(I_Top,1),D_An,S_An,D_Mois,5))</f>
        <v>0</v>
      </c>
      <c r="D28" s="41">
        <f>IF(INDEX(I_Top,2)="",0,SUMIFS(D_CO2,D_Grp,INDEX(I_Top,2),D_An,S_An,D_Mois,5))</f>
        <v>0</v>
      </c>
      <c r="E28" s="41">
        <f>IF(INDEX(I_Top,3)="",0,SUMIFS(D_CO2,D_Grp,INDEX(I_Top,3),D_An,S_An,D_Mois,5))</f>
        <v>0</v>
      </c>
      <c r="F28" s="41">
        <f>IF(INDEX(I_Top,4)="",0,SUMIFS(D_CO2,D_Grp,INDEX(I_Top,4),D_An,S_An,D_Mois,5))</f>
        <v>0</v>
      </c>
      <c r="G28" s="41">
        <f>IF(INDEX(I_Top,5)="",0,SUMIFS(D_CO2,D_Grp,INDEX(I_Top,5),D_An,S_An,D_Mois,5))</f>
        <v>0</v>
      </c>
      <c r="H28" s="41">
        <f>IF(INDEX(I_Top,6)="",0,SUMIFS(D_CO2,D_Grp,INDEX(I_Top,6),D_An,S_An,D_Mois,5))</f>
        <v>0</v>
      </c>
      <c r="I28" s="41">
        <f>IF(INDEX(I_Top,7)="",0,SUMIFS(D_CO2,D_Grp,INDEX(I_Top,7),D_An,S_An,D_Mois,5))</f>
        <v>0</v>
      </c>
      <c r="J28" s="41">
        <f>IF(INDEX(I_Top,8)="",0,SUMIFS(D_CO2,D_Grp,INDEX(I_Top,8),D_An,S_An,D_Mois,5))</f>
        <v>0</v>
      </c>
      <c r="K28" s="41">
        <f>MAX(0,C11-SUM(C28:J28))</f>
        <v>0</v>
      </c>
    </row>
    <row r="29">
      <c r="B29" s="7" t="inlineStr">
        <is>
          <t>juin</t>
        </is>
      </c>
      <c r="C29" s="41">
        <f>IF(INDEX(I_Top,1)="",0,SUMIFS(D_CO2,D_Grp,INDEX(I_Top,1),D_An,S_An,D_Mois,6))</f>
        <v>0</v>
      </c>
      <c r="D29" s="41">
        <f>IF(INDEX(I_Top,2)="",0,SUMIFS(D_CO2,D_Grp,INDEX(I_Top,2),D_An,S_An,D_Mois,6))</f>
        <v>0</v>
      </c>
      <c r="E29" s="41">
        <f>IF(INDEX(I_Top,3)="",0,SUMIFS(D_CO2,D_Grp,INDEX(I_Top,3),D_An,S_An,D_Mois,6))</f>
        <v>0</v>
      </c>
      <c r="F29" s="41">
        <f>IF(INDEX(I_Top,4)="",0,SUMIFS(D_CO2,D_Grp,INDEX(I_Top,4),D_An,S_An,D_Mois,6))</f>
        <v>0</v>
      </c>
      <c r="G29" s="41">
        <f>IF(INDEX(I_Top,5)="",0,SUMIFS(D_CO2,D_Grp,INDEX(I_Top,5),D_An,S_An,D_Mois,6))</f>
        <v>0</v>
      </c>
      <c r="H29" s="41">
        <f>IF(INDEX(I_Top,6)="",0,SUMIFS(D_CO2,D_Grp,INDEX(I_Top,6),D_An,S_An,D_Mois,6))</f>
        <v>0</v>
      </c>
      <c r="I29" s="41">
        <f>IF(INDEX(I_Top,7)="",0,SUMIFS(D_CO2,D_Grp,INDEX(I_Top,7),D_An,S_An,D_Mois,6))</f>
        <v>0</v>
      </c>
      <c r="J29" s="41">
        <f>IF(INDEX(I_Top,8)="",0,SUMIFS(D_CO2,D_Grp,INDEX(I_Top,8),D_An,S_An,D_Mois,6))</f>
        <v>0</v>
      </c>
      <c r="K29" s="41">
        <f>MAX(0,C12-SUM(C29:J29))</f>
        <v>0</v>
      </c>
    </row>
    <row r="30">
      <c r="B30" s="7" t="inlineStr">
        <is>
          <t>juil.</t>
        </is>
      </c>
      <c r="C30" s="41">
        <f>IF(INDEX(I_Top,1)="",0,SUMIFS(D_CO2,D_Grp,INDEX(I_Top,1),D_An,S_An,D_Mois,7))</f>
        <v>0</v>
      </c>
      <c r="D30" s="41">
        <f>IF(INDEX(I_Top,2)="",0,SUMIFS(D_CO2,D_Grp,INDEX(I_Top,2),D_An,S_An,D_Mois,7))</f>
        <v>0</v>
      </c>
      <c r="E30" s="41">
        <f>IF(INDEX(I_Top,3)="",0,SUMIFS(D_CO2,D_Grp,INDEX(I_Top,3),D_An,S_An,D_Mois,7))</f>
        <v>0</v>
      </c>
      <c r="F30" s="41">
        <f>IF(INDEX(I_Top,4)="",0,SUMIFS(D_CO2,D_Grp,INDEX(I_Top,4),D_An,S_An,D_Mois,7))</f>
        <v>0</v>
      </c>
      <c r="G30" s="41">
        <f>IF(INDEX(I_Top,5)="",0,SUMIFS(D_CO2,D_Grp,INDEX(I_Top,5),D_An,S_An,D_Mois,7))</f>
        <v>0</v>
      </c>
      <c r="H30" s="41">
        <f>IF(INDEX(I_Top,6)="",0,SUMIFS(D_CO2,D_Grp,INDEX(I_Top,6),D_An,S_An,D_Mois,7))</f>
        <v>0</v>
      </c>
      <c r="I30" s="41">
        <f>IF(INDEX(I_Top,7)="",0,SUMIFS(D_CO2,D_Grp,INDEX(I_Top,7),D_An,S_An,D_Mois,7))</f>
        <v>0</v>
      </c>
      <c r="J30" s="41">
        <f>IF(INDEX(I_Top,8)="",0,SUMIFS(D_CO2,D_Grp,INDEX(I_Top,8),D_An,S_An,D_Mois,7))</f>
        <v>0</v>
      </c>
      <c r="K30" s="41">
        <f>MAX(0,C13-SUM(C30:J30))</f>
        <v>0</v>
      </c>
    </row>
    <row r="31">
      <c r="B31" s="7" t="inlineStr">
        <is>
          <t>août</t>
        </is>
      </c>
      <c r="C31" s="41">
        <f>IF(INDEX(I_Top,1)="",0,SUMIFS(D_CO2,D_Grp,INDEX(I_Top,1),D_An,S_An,D_Mois,8))</f>
        <v>0</v>
      </c>
      <c r="D31" s="41">
        <f>IF(INDEX(I_Top,2)="",0,SUMIFS(D_CO2,D_Grp,INDEX(I_Top,2),D_An,S_An,D_Mois,8))</f>
        <v>0</v>
      </c>
      <c r="E31" s="41">
        <f>IF(INDEX(I_Top,3)="",0,SUMIFS(D_CO2,D_Grp,INDEX(I_Top,3),D_An,S_An,D_Mois,8))</f>
        <v>0</v>
      </c>
      <c r="F31" s="41">
        <f>IF(INDEX(I_Top,4)="",0,SUMIFS(D_CO2,D_Grp,INDEX(I_Top,4),D_An,S_An,D_Mois,8))</f>
        <v>0</v>
      </c>
      <c r="G31" s="41">
        <f>IF(INDEX(I_Top,5)="",0,SUMIFS(D_CO2,D_Grp,INDEX(I_Top,5),D_An,S_An,D_Mois,8))</f>
        <v>0</v>
      </c>
      <c r="H31" s="41">
        <f>IF(INDEX(I_Top,6)="",0,SUMIFS(D_CO2,D_Grp,INDEX(I_Top,6),D_An,S_An,D_Mois,8))</f>
        <v>0</v>
      </c>
      <c r="I31" s="41">
        <f>IF(INDEX(I_Top,7)="",0,SUMIFS(D_CO2,D_Grp,INDEX(I_Top,7),D_An,S_An,D_Mois,8))</f>
        <v>0</v>
      </c>
      <c r="J31" s="41">
        <f>IF(INDEX(I_Top,8)="",0,SUMIFS(D_CO2,D_Grp,INDEX(I_Top,8),D_An,S_An,D_Mois,8))</f>
        <v>0</v>
      </c>
      <c r="K31" s="41">
        <f>MAX(0,C14-SUM(C31:J31))</f>
        <v>0</v>
      </c>
    </row>
    <row r="32">
      <c r="B32" s="7" t="inlineStr">
        <is>
          <t>sept.</t>
        </is>
      </c>
      <c r="C32" s="41">
        <f>IF(INDEX(I_Top,1)="",0,SUMIFS(D_CO2,D_Grp,INDEX(I_Top,1),D_An,S_An,D_Mois,9))</f>
        <v>0</v>
      </c>
      <c r="D32" s="41">
        <f>IF(INDEX(I_Top,2)="",0,SUMIFS(D_CO2,D_Grp,INDEX(I_Top,2),D_An,S_An,D_Mois,9))</f>
        <v>0</v>
      </c>
      <c r="E32" s="41">
        <f>IF(INDEX(I_Top,3)="",0,SUMIFS(D_CO2,D_Grp,INDEX(I_Top,3),D_An,S_An,D_Mois,9))</f>
        <v>0</v>
      </c>
      <c r="F32" s="41">
        <f>IF(INDEX(I_Top,4)="",0,SUMIFS(D_CO2,D_Grp,INDEX(I_Top,4),D_An,S_An,D_Mois,9))</f>
        <v>0</v>
      </c>
      <c r="G32" s="41">
        <f>IF(INDEX(I_Top,5)="",0,SUMIFS(D_CO2,D_Grp,INDEX(I_Top,5),D_An,S_An,D_Mois,9))</f>
        <v>0</v>
      </c>
      <c r="H32" s="41">
        <f>IF(INDEX(I_Top,6)="",0,SUMIFS(D_CO2,D_Grp,INDEX(I_Top,6),D_An,S_An,D_Mois,9))</f>
        <v>0</v>
      </c>
      <c r="I32" s="41">
        <f>IF(INDEX(I_Top,7)="",0,SUMIFS(D_CO2,D_Grp,INDEX(I_Top,7),D_An,S_An,D_Mois,9))</f>
        <v>0</v>
      </c>
      <c r="J32" s="41">
        <f>IF(INDEX(I_Top,8)="",0,SUMIFS(D_CO2,D_Grp,INDEX(I_Top,8),D_An,S_An,D_Mois,9))</f>
        <v>0</v>
      </c>
      <c r="K32" s="41">
        <f>MAX(0,C15-SUM(C32:J32))</f>
        <v>0</v>
      </c>
    </row>
    <row r="33">
      <c r="B33" s="7" t="inlineStr">
        <is>
          <t>oct.</t>
        </is>
      </c>
      <c r="C33" s="41">
        <f>IF(INDEX(I_Top,1)="",0,SUMIFS(D_CO2,D_Grp,INDEX(I_Top,1),D_An,S_An,D_Mois,10))</f>
        <v>0</v>
      </c>
      <c r="D33" s="41">
        <f>IF(INDEX(I_Top,2)="",0,SUMIFS(D_CO2,D_Grp,INDEX(I_Top,2),D_An,S_An,D_Mois,10))</f>
        <v>0</v>
      </c>
      <c r="E33" s="41">
        <f>IF(INDEX(I_Top,3)="",0,SUMIFS(D_CO2,D_Grp,INDEX(I_Top,3),D_An,S_An,D_Mois,10))</f>
        <v>0</v>
      </c>
      <c r="F33" s="41">
        <f>IF(INDEX(I_Top,4)="",0,SUMIFS(D_CO2,D_Grp,INDEX(I_Top,4),D_An,S_An,D_Mois,10))</f>
        <v>0</v>
      </c>
      <c r="G33" s="41">
        <f>IF(INDEX(I_Top,5)="",0,SUMIFS(D_CO2,D_Grp,INDEX(I_Top,5),D_An,S_An,D_Mois,10))</f>
        <v>0</v>
      </c>
      <c r="H33" s="41">
        <f>IF(INDEX(I_Top,6)="",0,SUMIFS(D_CO2,D_Grp,INDEX(I_Top,6),D_An,S_An,D_Mois,10))</f>
        <v>0</v>
      </c>
      <c r="I33" s="41">
        <f>IF(INDEX(I_Top,7)="",0,SUMIFS(D_CO2,D_Grp,INDEX(I_Top,7),D_An,S_An,D_Mois,10))</f>
        <v>0</v>
      </c>
      <c r="J33" s="41">
        <f>IF(INDEX(I_Top,8)="",0,SUMIFS(D_CO2,D_Grp,INDEX(I_Top,8),D_An,S_An,D_Mois,10))</f>
        <v>0</v>
      </c>
      <c r="K33" s="41">
        <f>MAX(0,C16-SUM(C33:J33))</f>
        <v>0</v>
      </c>
    </row>
    <row r="34">
      <c r="B34" s="7" t="inlineStr">
        <is>
          <t>nov.</t>
        </is>
      </c>
      <c r="C34" s="41">
        <f>IF(INDEX(I_Top,1)="",0,SUMIFS(D_CO2,D_Grp,INDEX(I_Top,1),D_An,S_An,D_Mois,11))</f>
        <v>0</v>
      </c>
      <c r="D34" s="41">
        <f>IF(INDEX(I_Top,2)="",0,SUMIFS(D_CO2,D_Grp,INDEX(I_Top,2),D_An,S_An,D_Mois,11))</f>
        <v>0</v>
      </c>
      <c r="E34" s="41">
        <f>IF(INDEX(I_Top,3)="",0,SUMIFS(D_CO2,D_Grp,INDEX(I_Top,3),D_An,S_An,D_Mois,11))</f>
        <v>0</v>
      </c>
      <c r="F34" s="41">
        <f>IF(INDEX(I_Top,4)="",0,SUMIFS(D_CO2,D_Grp,INDEX(I_Top,4),D_An,S_An,D_Mois,11))</f>
        <v>0</v>
      </c>
      <c r="G34" s="41">
        <f>IF(INDEX(I_Top,5)="",0,SUMIFS(D_CO2,D_Grp,INDEX(I_Top,5),D_An,S_An,D_Mois,11))</f>
        <v>0</v>
      </c>
      <c r="H34" s="41">
        <f>IF(INDEX(I_Top,6)="",0,SUMIFS(D_CO2,D_Grp,INDEX(I_Top,6),D_An,S_An,D_Mois,11))</f>
        <v>0</v>
      </c>
      <c r="I34" s="41">
        <f>IF(INDEX(I_Top,7)="",0,SUMIFS(D_CO2,D_Grp,INDEX(I_Top,7),D_An,S_An,D_Mois,11))</f>
        <v>0</v>
      </c>
      <c r="J34" s="41">
        <f>IF(INDEX(I_Top,8)="",0,SUMIFS(D_CO2,D_Grp,INDEX(I_Top,8),D_An,S_An,D_Mois,11))</f>
        <v>0</v>
      </c>
      <c r="K34" s="41">
        <f>MAX(0,C17-SUM(C34:J34))</f>
        <v>0</v>
      </c>
    </row>
    <row r="35">
      <c r="B35" s="7" t="inlineStr">
        <is>
          <t>déc.</t>
        </is>
      </c>
      <c r="C35" s="41">
        <f>IF(INDEX(I_Top,1)="",0,SUMIFS(D_CO2,D_Grp,INDEX(I_Top,1),D_An,S_An,D_Mois,12))</f>
        <v>0</v>
      </c>
      <c r="D35" s="41">
        <f>IF(INDEX(I_Top,2)="",0,SUMIFS(D_CO2,D_Grp,INDEX(I_Top,2),D_An,S_An,D_Mois,12))</f>
        <v>0</v>
      </c>
      <c r="E35" s="41">
        <f>IF(INDEX(I_Top,3)="",0,SUMIFS(D_CO2,D_Grp,INDEX(I_Top,3),D_An,S_An,D_Mois,12))</f>
        <v>0</v>
      </c>
      <c r="F35" s="41">
        <f>IF(INDEX(I_Top,4)="",0,SUMIFS(D_CO2,D_Grp,INDEX(I_Top,4),D_An,S_An,D_Mois,12))</f>
        <v>0</v>
      </c>
      <c r="G35" s="41">
        <f>IF(INDEX(I_Top,5)="",0,SUMIFS(D_CO2,D_Grp,INDEX(I_Top,5),D_An,S_An,D_Mois,12))</f>
        <v>0</v>
      </c>
      <c r="H35" s="41">
        <f>IF(INDEX(I_Top,6)="",0,SUMIFS(D_CO2,D_Grp,INDEX(I_Top,6),D_An,S_An,D_Mois,12))</f>
        <v>0</v>
      </c>
      <c r="I35" s="41">
        <f>IF(INDEX(I_Top,7)="",0,SUMIFS(D_CO2,D_Grp,INDEX(I_Top,7),D_An,S_An,D_Mois,12))</f>
        <v>0</v>
      </c>
      <c r="J35" s="41">
        <f>IF(INDEX(I_Top,8)="",0,SUMIFS(D_CO2,D_Grp,INDEX(I_Top,8),D_An,S_An,D_Mois,12))</f>
        <v>0</v>
      </c>
      <c r="K35" s="41">
        <f>MAX(0,C18-SUM(C35:J35))</f>
        <v>0</v>
      </c>
    </row>
    <row r="38">
      <c r="B38" s="26" t="inlineStr">
        <is>
          <t>Classement des modèles (année affichée)</t>
        </is>
      </c>
      <c r="C38" s="27" t="n"/>
      <c r="D38" s="27" t="n"/>
      <c r="E38" s="27" t="n"/>
      <c r="F38" s="27" t="n"/>
      <c r="G38" s="27" t="n"/>
      <c r="H38" s="27" t="n"/>
      <c r="I38" s="27" t="n"/>
      <c r="J38" s="27" t="n"/>
      <c r="K38" s="27" t="n"/>
    </row>
    <row r="39" ht="30" customHeight="1">
      <c r="B39" s="39" t="inlineStr">
        <is>
          <t>Rang</t>
        </is>
      </c>
      <c r="C39" s="40" t="inlineStr">
        <is>
          <t>Modèle</t>
        </is>
      </c>
      <c r="D39" s="40" t="inlineStr">
        <is>
          <t>kgCO₂e</t>
        </is>
      </c>
      <c r="E39" s="40" t="inlineStr">
        <is>
          <t>Part</t>
        </is>
      </c>
      <c r="F39" s="40" t="inlineStr">
        <is>
          <t>Énergie</t>
        </is>
      </c>
      <c r="G39" s="40" t="inlineStr">
        <is>
          <t>Tokens éq. output</t>
        </is>
      </c>
      <c r="H39" s="40" t="inlineStr">
        <is>
          <t>Coût brut</t>
        </is>
      </c>
      <c r="I39" s="40" t="inlineStr">
        <is>
          <t>gCO₂e par $</t>
        </is>
      </c>
      <c r="J39" s="40" t="inlineStr">
        <is>
          <t>FE retenu (kgCO₂e/token)</t>
        </is>
      </c>
      <c r="K39" s="40" t="inlineStr">
        <is>
          <t>Source du FE</t>
        </is>
      </c>
    </row>
    <row r="40">
      <c r="B40" s="56" t="str">
        <f>IF(C40="","",1)</f>
        <v/>
      </c>
      <c r="C40" s="7" t="str">
        <f>IF(INDEX(I_CO2,L40)&gt;0,INDEX(I_Nom,L40),"")</f>
        <v/>
      </c>
      <c r="D40" s="43" t="str">
        <f>IF(C40="","",INDEX(I_CO2,L40))</f>
        <v/>
      </c>
      <c r="E40" s="57" t="str">
        <f>IF(C40="","",D40/S_YTD)</f>
        <v/>
      </c>
      <c r="F40" s="44" t="str">
        <f>IF(C40="","",INDEX(I_kWh,L40))</f>
        <v/>
      </c>
      <c r="G40" s="45" t="str">
        <f>IF(C40="","",INDEX(I_TO,L40))</f>
        <v/>
      </c>
      <c r="H40" s="46" t="str">
        <f>IF(C40="","",INDEX(I_Brut,L40))</f>
        <v/>
      </c>
      <c r="I40" s="41" t="str">
        <f>IF(C40="","",IF(H40&gt;0,D40*1000/H40,""))</f>
        <v/>
      </c>
      <c r="J40" s="58" t="str">
        <f>IF(C40="","",INDEX(M_FE,L40))</f>
        <v/>
      </c>
      <c r="K40" s="2" t="str">
        <f>IF(C40="","",INDEX(M_Src,L40))</f>
        <v/>
      </c>
      <c r="L40" s="59">
        <f>MATCH(LARGE(I_Key,1),I_Key,0)</f>
        <v>1</v>
      </c>
    </row>
    <row r="41">
      <c r="B41" s="56" t="str">
        <f>IF(C41="","",2)</f>
        <v/>
      </c>
      <c r="C41" s="7" t="str">
        <f>IF(INDEX(I_CO2,L41)&gt;0,INDEX(I_Nom,L41),"")</f>
        <v/>
      </c>
      <c r="D41" s="43" t="str">
        <f>IF(C41="","",INDEX(I_CO2,L41))</f>
        <v/>
      </c>
      <c r="E41" s="57" t="str">
        <f>IF(C41="","",D41/S_YTD)</f>
        <v/>
      </c>
      <c r="F41" s="44" t="str">
        <f>IF(C41="","",INDEX(I_kWh,L41))</f>
        <v/>
      </c>
      <c r="G41" s="45" t="str">
        <f>IF(C41="","",INDEX(I_TO,L41))</f>
        <v/>
      </c>
      <c r="H41" s="46" t="str">
        <f>IF(C41="","",INDEX(I_Brut,L41))</f>
        <v/>
      </c>
      <c r="I41" s="41" t="str">
        <f>IF(C41="","",IF(H41&gt;0,D41*1000/H41,""))</f>
        <v/>
      </c>
      <c r="J41" s="58" t="str">
        <f>IF(C41="","",INDEX(M_FE,L41))</f>
        <v/>
      </c>
      <c r="K41" s="2" t="str">
        <f>IF(C41="","",INDEX(M_Src,L41))</f>
        <v/>
      </c>
      <c r="L41" s="59">
        <f>MATCH(LARGE(I_Key,2),I_Key,0)</f>
        <v>2</v>
      </c>
    </row>
    <row r="42">
      <c r="B42" s="56" t="str">
        <f>IF(C42="","",3)</f>
        <v/>
      </c>
      <c r="C42" s="7" t="str">
        <f>IF(INDEX(I_CO2,L42)&gt;0,INDEX(I_Nom,L42),"")</f>
        <v/>
      </c>
      <c r="D42" s="43" t="str">
        <f>IF(C42="","",INDEX(I_CO2,L42))</f>
        <v/>
      </c>
      <c r="E42" s="57" t="str">
        <f>IF(C42="","",D42/S_YTD)</f>
        <v/>
      </c>
      <c r="F42" s="44" t="str">
        <f>IF(C42="","",INDEX(I_kWh,L42))</f>
        <v/>
      </c>
      <c r="G42" s="45" t="str">
        <f>IF(C42="","",INDEX(I_TO,L42))</f>
        <v/>
      </c>
      <c r="H42" s="46" t="str">
        <f>IF(C42="","",INDEX(I_Brut,L42))</f>
        <v/>
      </c>
      <c r="I42" s="41" t="str">
        <f>IF(C42="","",IF(H42&gt;0,D42*1000/H42,""))</f>
        <v/>
      </c>
      <c r="J42" s="58" t="str">
        <f>IF(C42="","",INDEX(M_FE,L42))</f>
        <v/>
      </c>
      <c r="K42" s="2" t="str">
        <f>IF(C42="","",INDEX(M_Src,L42))</f>
        <v/>
      </c>
      <c r="L42" s="59">
        <f>MATCH(LARGE(I_Key,3),I_Key,0)</f>
        <v>3</v>
      </c>
    </row>
    <row r="43">
      <c r="B43" s="56" t="str">
        <f>IF(C43="","",4)</f>
        <v/>
      </c>
      <c r="C43" s="7" t="str">
        <f>IF(INDEX(I_CO2,L43)&gt;0,INDEX(I_Nom,L43),"")</f>
        <v/>
      </c>
      <c r="D43" s="43" t="str">
        <f>IF(C43="","",INDEX(I_CO2,L43))</f>
        <v/>
      </c>
      <c r="E43" s="57" t="str">
        <f>IF(C43="","",D43/S_YTD)</f>
        <v/>
      </c>
      <c r="F43" s="44" t="str">
        <f>IF(C43="","",INDEX(I_kWh,L43))</f>
        <v/>
      </c>
      <c r="G43" s="45" t="str">
        <f>IF(C43="","",INDEX(I_TO,L43))</f>
        <v/>
      </c>
      <c r="H43" s="46" t="str">
        <f>IF(C43="","",INDEX(I_Brut,L43))</f>
        <v/>
      </c>
      <c r="I43" s="41" t="str">
        <f>IF(C43="","",IF(H43&gt;0,D43*1000/H43,""))</f>
        <v/>
      </c>
      <c r="J43" s="58" t="str">
        <f>IF(C43="","",INDEX(M_FE,L43))</f>
        <v/>
      </c>
      <c r="K43" s="2" t="str">
        <f>IF(C43="","",INDEX(M_Src,L43))</f>
        <v/>
      </c>
      <c r="L43" s="59">
        <f>MATCH(LARGE(I_Key,4),I_Key,0)</f>
        <v>4</v>
      </c>
    </row>
    <row r="44">
      <c r="B44" s="56" t="str">
        <f>IF(C44="","",5)</f>
        <v/>
      </c>
      <c r="C44" s="7" t="str">
        <f>IF(INDEX(I_CO2,L44)&gt;0,INDEX(I_Nom,L44),"")</f>
        <v/>
      </c>
      <c r="D44" s="43" t="str">
        <f>IF(C44="","",INDEX(I_CO2,L44))</f>
        <v/>
      </c>
      <c r="E44" s="57" t="str">
        <f>IF(C44="","",D44/S_YTD)</f>
        <v/>
      </c>
      <c r="F44" s="44" t="str">
        <f>IF(C44="","",INDEX(I_kWh,L44))</f>
        <v/>
      </c>
      <c r="G44" s="45" t="str">
        <f>IF(C44="","",INDEX(I_TO,L44))</f>
        <v/>
      </c>
      <c r="H44" s="46" t="str">
        <f>IF(C44="","",INDEX(I_Brut,L44))</f>
        <v/>
      </c>
      <c r="I44" s="41" t="str">
        <f>IF(C44="","",IF(H44&gt;0,D44*1000/H44,""))</f>
        <v/>
      </c>
      <c r="J44" s="58" t="str">
        <f>IF(C44="","",INDEX(M_FE,L44))</f>
        <v/>
      </c>
      <c r="K44" s="2" t="str">
        <f>IF(C44="","",INDEX(M_Src,L44))</f>
        <v/>
      </c>
      <c r="L44" s="59">
        <f>MATCH(LARGE(I_Key,5),I_Key,0)</f>
        <v>5</v>
      </c>
    </row>
    <row r="45">
      <c r="B45" s="56" t="str">
        <f>IF(C45="","",6)</f>
        <v/>
      </c>
      <c r="C45" s="7" t="str">
        <f>IF(INDEX(I_CO2,L45)&gt;0,INDEX(I_Nom,L45),"")</f>
        <v/>
      </c>
      <c r="D45" s="43" t="str">
        <f>IF(C45="","",INDEX(I_CO2,L45))</f>
        <v/>
      </c>
      <c r="E45" s="57" t="str">
        <f>IF(C45="","",D45/S_YTD)</f>
        <v/>
      </c>
      <c r="F45" s="44" t="str">
        <f>IF(C45="","",INDEX(I_kWh,L45))</f>
        <v/>
      </c>
      <c r="G45" s="45" t="str">
        <f>IF(C45="","",INDEX(I_TO,L45))</f>
        <v/>
      </c>
      <c r="H45" s="46" t="str">
        <f>IF(C45="","",INDEX(I_Brut,L45))</f>
        <v/>
      </c>
      <c r="I45" s="41" t="str">
        <f>IF(C45="","",IF(H45&gt;0,D45*1000/H45,""))</f>
        <v/>
      </c>
      <c r="J45" s="58" t="str">
        <f>IF(C45="","",INDEX(M_FE,L45))</f>
        <v/>
      </c>
      <c r="K45" s="2" t="str">
        <f>IF(C45="","",INDEX(M_Src,L45))</f>
        <v/>
      </c>
      <c r="L45" s="59">
        <f>MATCH(LARGE(I_Key,6),I_Key,0)</f>
        <v>6</v>
      </c>
    </row>
    <row r="46">
      <c r="B46" s="56" t="str">
        <f>IF(C46="","",7)</f>
        <v/>
      </c>
      <c r="C46" s="7" t="str">
        <f>IF(INDEX(I_CO2,L46)&gt;0,INDEX(I_Nom,L46),"")</f>
        <v/>
      </c>
      <c r="D46" s="43" t="str">
        <f>IF(C46="","",INDEX(I_CO2,L46))</f>
        <v/>
      </c>
      <c r="E46" s="57" t="str">
        <f>IF(C46="","",D46/S_YTD)</f>
        <v/>
      </c>
      <c r="F46" s="44" t="str">
        <f>IF(C46="","",INDEX(I_kWh,L46))</f>
        <v/>
      </c>
      <c r="G46" s="45" t="str">
        <f>IF(C46="","",INDEX(I_TO,L46))</f>
        <v/>
      </c>
      <c r="H46" s="46" t="str">
        <f>IF(C46="","",INDEX(I_Brut,L46))</f>
        <v/>
      </c>
      <c r="I46" s="41" t="str">
        <f>IF(C46="","",IF(H46&gt;0,D46*1000/H46,""))</f>
        <v/>
      </c>
      <c r="J46" s="58" t="str">
        <f>IF(C46="","",INDEX(M_FE,L46))</f>
        <v/>
      </c>
      <c r="K46" s="2" t="str">
        <f>IF(C46="","",INDEX(M_Src,L46))</f>
        <v/>
      </c>
      <c r="L46" s="59">
        <f>MATCH(LARGE(I_Key,7),I_Key,0)</f>
        <v>7</v>
      </c>
    </row>
    <row r="47">
      <c r="B47" s="56" t="str">
        <f>IF(C47="","",8)</f>
        <v/>
      </c>
      <c r="C47" s="7" t="str">
        <f>IF(INDEX(I_CO2,L47)&gt;0,INDEX(I_Nom,L47),"")</f>
        <v/>
      </c>
      <c r="D47" s="43" t="str">
        <f>IF(C47="","",INDEX(I_CO2,L47))</f>
        <v/>
      </c>
      <c r="E47" s="57" t="str">
        <f>IF(C47="","",D47/S_YTD)</f>
        <v/>
      </c>
      <c r="F47" s="44" t="str">
        <f>IF(C47="","",INDEX(I_kWh,L47))</f>
        <v/>
      </c>
      <c r="G47" s="45" t="str">
        <f>IF(C47="","",INDEX(I_TO,L47))</f>
        <v/>
      </c>
      <c r="H47" s="46" t="str">
        <f>IF(C47="","",INDEX(I_Brut,L47))</f>
        <v/>
      </c>
      <c r="I47" s="41" t="str">
        <f>IF(C47="","",IF(H47&gt;0,D47*1000/H47,""))</f>
        <v/>
      </c>
      <c r="J47" s="58" t="str">
        <f>IF(C47="","",INDEX(M_FE,L47))</f>
        <v/>
      </c>
      <c r="K47" s="2" t="str">
        <f>IF(C47="","",INDEX(M_Src,L47))</f>
        <v/>
      </c>
      <c r="L47" s="59">
        <f>MATCH(LARGE(I_Key,8),I_Key,0)</f>
        <v>8</v>
      </c>
    </row>
    <row r="48">
      <c r="B48" s="56" t="str">
        <f>IF(C48="","",9)</f>
        <v/>
      </c>
      <c r="C48" s="7" t="str">
        <f>IF(INDEX(I_CO2,L48)&gt;0,INDEX(I_Nom,L48),"")</f>
        <v/>
      </c>
      <c r="D48" s="43" t="str">
        <f>IF(C48="","",INDEX(I_CO2,L48))</f>
        <v/>
      </c>
      <c r="E48" s="57" t="str">
        <f>IF(C48="","",D48/S_YTD)</f>
        <v/>
      </c>
      <c r="F48" s="44" t="str">
        <f>IF(C48="","",INDEX(I_kWh,L48))</f>
        <v/>
      </c>
      <c r="G48" s="45" t="str">
        <f>IF(C48="","",INDEX(I_TO,L48))</f>
        <v/>
      </c>
      <c r="H48" s="46" t="str">
        <f>IF(C48="","",INDEX(I_Brut,L48))</f>
        <v/>
      </c>
      <c r="I48" s="41" t="str">
        <f>IF(C48="","",IF(H48&gt;0,D48*1000/H48,""))</f>
        <v/>
      </c>
      <c r="J48" s="58" t="str">
        <f>IF(C48="","",INDEX(M_FE,L48))</f>
        <v/>
      </c>
      <c r="K48" s="2" t="str">
        <f>IF(C48="","",INDEX(M_Src,L48))</f>
        <v/>
      </c>
      <c r="L48" s="59">
        <f>MATCH(LARGE(I_Key,9),I_Key,0)</f>
        <v>9</v>
      </c>
    </row>
    <row r="49">
      <c r="B49" s="56" t="str">
        <f>IF(C49="","",10)</f>
        <v/>
      </c>
      <c r="C49" s="7" t="str">
        <f>IF(INDEX(I_CO2,L49)&gt;0,INDEX(I_Nom,L49),"")</f>
        <v/>
      </c>
      <c r="D49" s="43" t="str">
        <f>IF(C49="","",INDEX(I_CO2,L49))</f>
        <v/>
      </c>
      <c r="E49" s="57" t="str">
        <f>IF(C49="","",D49/S_YTD)</f>
        <v/>
      </c>
      <c r="F49" s="44" t="str">
        <f>IF(C49="","",INDEX(I_kWh,L49))</f>
        <v/>
      </c>
      <c r="G49" s="45" t="str">
        <f>IF(C49="","",INDEX(I_TO,L49))</f>
        <v/>
      </c>
      <c r="H49" s="46" t="str">
        <f>IF(C49="","",INDEX(I_Brut,L49))</f>
        <v/>
      </c>
      <c r="I49" s="41" t="str">
        <f>IF(C49="","",IF(H49&gt;0,D49*1000/H49,""))</f>
        <v/>
      </c>
      <c r="J49" s="58" t="str">
        <f>IF(C49="","",INDEX(M_FE,L49))</f>
        <v/>
      </c>
      <c r="K49" s="2" t="str">
        <f>IF(C49="","",INDEX(M_Src,L49))</f>
        <v/>
      </c>
      <c r="L49" s="59">
        <f>MATCH(LARGE(I_Key,10),I_Key,0)</f>
        <v>10</v>
      </c>
    </row>
    <row r="50">
      <c r="B50" s="56" t="str">
        <f>IF(C50="","",11)</f>
        <v/>
      </c>
      <c r="C50" s="7" t="str">
        <f>IF(INDEX(I_CO2,L50)&gt;0,INDEX(I_Nom,L50),"")</f>
        <v/>
      </c>
      <c r="D50" s="43" t="str">
        <f>IF(C50="","",INDEX(I_CO2,L50))</f>
        <v/>
      </c>
      <c r="E50" s="57" t="str">
        <f>IF(C50="","",D50/S_YTD)</f>
        <v/>
      </c>
      <c r="F50" s="44" t="str">
        <f>IF(C50="","",INDEX(I_kWh,L50))</f>
        <v/>
      </c>
      <c r="G50" s="45" t="str">
        <f>IF(C50="","",INDEX(I_TO,L50))</f>
        <v/>
      </c>
      <c r="H50" s="46" t="str">
        <f>IF(C50="","",INDEX(I_Brut,L50))</f>
        <v/>
      </c>
      <c r="I50" s="41" t="str">
        <f>IF(C50="","",IF(H50&gt;0,D50*1000/H50,""))</f>
        <v/>
      </c>
      <c r="J50" s="58" t="str">
        <f>IF(C50="","",INDEX(M_FE,L50))</f>
        <v/>
      </c>
      <c r="K50" s="2" t="str">
        <f>IF(C50="","",INDEX(M_Src,L50))</f>
        <v/>
      </c>
      <c r="L50" s="59">
        <f>MATCH(LARGE(I_Key,11),I_Key,0)</f>
        <v>11</v>
      </c>
    </row>
    <row r="51">
      <c r="B51" s="56" t="str">
        <f>IF(C51="","",12)</f>
        <v/>
      </c>
      <c r="C51" s="7" t="str">
        <f>IF(INDEX(I_CO2,L51)&gt;0,INDEX(I_Nom,L51),"")</f>
        <v/>
      </c>
      <c r="D51" s="43" t="str">
        <f>IF(C51="","",INDEX(I_CO2,L51))</f>
        <v/>
      </c>
      <c r="E51" s="57" t="str">
        <f>IF(C51="","",D51/S_YTD)</f>
        <v/>
      </c>
      <c r="F51" s="44" t="str">
        <f>IF(C51="","",INDEX(I_kWh,L51))</f>
        <v/>
      </c>
      <c r="G51" s="45" t="str">
        <f>IF(C51="","",INDEX(I_TO,L51))</f>
        <v/>
      </c>
      <c r="H51" s="46" t="str">
        <f>IF(C51="","",INDEX(I_Brut,L51))</f>
        <v/>
      </c>
      <c r="I51" s="41" t="str">
        <f>IF(C51="","",IF(H51&gt;0,D51*1000/H51,""))</f>
        <v/>
      </c>
      <c r="J51" s="58" t="str">
        <f>IF(C51="","",INDEX(M_FE,L51))</f>
        <v/>
      </c>
      <c r="K51" s="2" t="str">
        <f>IF(C51="","",INDEX(M_Src,L51))</f>
        <v/>
      </c>
      <c r="L51" s="59">
        <f>MATCH(LARGE(I_Key,12),I_Key,0)</f>
        <v>12</v>
      </c>
    </row>
    <row r="52">
      <c r="B52" s="56" t="str">
        <f>IF(C52="","",13)</f>
        <v/>
      </c>
      <c r="C52" s="7" t="str">
        <f>IF(INDEX(I_CO2,L52)&gt;0,INDEX(I_Nom,L52),"")</f>
        <v/>
      </c>
      <c r="D52" s="43" t="str">
        <f>IF(C52="","",INDEX(I_CO2,L52))</f>
        <v/>
      </c>
      <c r="E52" s="57" t="str">
        <f>IF(C52="","",D52/S_YTD)</f>
        <v/>
      </c>
      <c r="F52" s="44" t="str">
        <f>IF(C52="","",INDEX(I_kWh,L52))</f>
        <v/>
      </c>
      <c r="G52" s="45" t="str">
        <f>IF(C52="","",INDEX(I_TO,L52))</f>
        <v/>
      </c>
      <c r="H52" s="46" t="str">
        <f>IF(C52="","",INDEX(I_Brut,L52))</f>
        <v/>
      </c>
      <c r="I52" s="41" t="str">
        <f>IF(C52="","",IF(H52&gt;0,D52*1000/H52,""))</f>
        <v/>
      </c>
      <c r="J52" s="58" t="str">
        <f>IF(C52="","",INDEX(M_FE,L52))</f>
        <v/>
      </c>
      <c r="K52" s="2" t="str">
        <f>IF(C52="","",INDEX(M_Src,L52))</f>
        <v/>
      </c>
      <c r="L52" s="59">
        <f>MATCH(LARGE(I_Key,13),I_Key,0)</f>
        <v>13</v>
      </c>
    </row>
    <row r="53">
      <c r="B53" s="56" t="str">
        <f>IF(C53="","",14)</f>
        <v/>
      </c>
      <c r="C53" s="7" t="str">
        <f>IF(INDEX(I_CO2,L53)&gt;0,INDEX(I_Nom,L53),"")</f>
        <v/>
      </c>
      <c r="D53" s="43" t="str">
        <f>IF(C53="","",INDEX(I_CO2,L53))</f>
        <v/>
      </c>
      <c r="E53" s="57" t="str">
        <f>IF(C53="","",D53/S_YTD)</f>
        <v/>
      </c>
      <c r="F53" s="44" t="str">
        <f>IF(C53="","",INDEX(I_kWh,L53))</f>
        <v/>
      </c>
      <c r="G53" s="45" t="str">
        <f>IF(C53="","",INDEX(I_TO,L53))</f>
        <v/>
      </c>
      <c r="H53" s="46" t="str">
        <f>IF(C53="","",INDEX(I_Brut,L53))</f>
        <v/>
      </c>
      <c r="I53" s="41" t="str">
        <f>IF(C53="","",IF(H53&gt;0,D53*1000/H53,""))</f>
        <v/>
      </c>
      <c r="J53" s="58" t="str">
        <f>IF(C53="","",INDEX(M_FE,L53))</f>
        <v/>
      </c>
      <c r="K53" s="2" t="str">
        <f>IF(C53="","",INDEX(M_Src,L53))</f>
        <v/>
      </c>
      <c r="L53" s="59">
        <f>MATCH(LARGE(I_Key,14),I_Key,0)</f>
        <v>14</v>
      </c>
    </row>
    <row r="54">
      <c r="B54" s="56" t="str">
        <f>IF(C54="","",15)</f>
        <v/>
      </c>
      <c r="C54" s="7" t="str">
        <f>IF(INDEX(I_CO2,L54)&gt;0,INDEX(I_Nom,L54),"")</f>
        <v/>
      </c>
      <c r="D54" s="43" t="str">
        <f>IF(C54="","",INDEX(I_CO2,L54))</f>
        <v/>
      </c>
      <c r="E54" s="57" t="str">
        <f>IF(C54="","",D54/S_YTD)</f>
        <v/>
      </c>
      <c r="F54" s="44" t="str">
        <f>IF(C54="","",INDEX(I_kWh,L54))</f>
        <v/>
      </c>
      <c r="G54" s="45" t="str">
        <f>IF(C54="","",INDEX(I_TO,L54))</f>
        <v/>
      </c>
      <c r="H54" s="46" t="str">
        <f>IF(C54="","",INDEX(I_Brut,L54))</f>
        <v/>
      </c>
      <c r="I54" s="41" t="str">
        <f>IF(C54="","",IF(H54&gt;0,D54*1000/H54,""))</f>
        <v/>
      </c>
      <c r="J54" s="58" t="str">
        <f>IF(C54="","",INDEX(M_FE,L54))</f>
        <v/>
      </c>
      <c r="K54" s="2" t="str">
        <f>IF(C54="","",INDEX(M_Src,L54))</f>
        <v/>
      </c>
      <c r="L54" s="59">
        <f>MATCH(LARGE(I_Key,15),I_Key,0)</f>
        <v>15</v>
      </c>
    </row>
    <row r="55">
      <c r="B55" s="56" t="str">
        <f>IF(C55="","",16)</f>
        <v/>
      </c>
      <c r="C55" s="7" t="str">
        <f>IF(INDEX(I_CO2,L55)&gt;0,INDEX(I_Nom,L55),"")</f>
        <v/>
      </c>
      <c r="D55" s="43" t="str">
        <f>IF(C55="","",INDEX(I_CO2,L55))</f>
        <v/>
      </c>
      <c r="E55" s="57" t="str">
        <f>IF(C55="","",D55/S_YTD)</f>
        <v/>
      </c>
      <c r="F55" s="44" t="str">
        <f>IF(C55="","",INDEX(I_kWh,L55))</f>
        <v/>
      </c>
      <c r="G55" s="45" t="str">
        <f>IF(C55="","",INDEX(I_TO,L55))</f>
        <v/>
      </c>
      <c r="H55" s="46" t="str">
        <f>IF(C55="","",INDEX(I_Brut,L55))</f>
        <v/>
      </c>
      <c r="I55" s="41" t="str">
        <f>IF(C55="","",IF(H55&gt;0,D55*1000/H55,""))</f>
        <v/>
      </c>
      <c r="J55" s="58" t="str">
        <f>IF(C55="","",INDEX(M_FE,L55))</f>
        <v/>
      </c>
      <c r="K55" s="2" t="str">
        <f>IF(C55="","",INDEX(M_Src,L55))</f>
        <v/>
      </c>
      <c r="L55" s="59">
        <f>MATCH(LARGE(I_Key,16),I_Key,0)</f>
        <v>16</v>
      </c>
    </row>
    <row r="56">
      <c r="B56" s="56" t="str">
        <f>IF(C56="","",17)</f>
        <v/>
      </c>
      <c r="C56" s="7" t="str">
        <f>IF(INDEX(I_CO2,L56)&gt;0,INDEX(I_Nom,L56),"")</f>
        <v/>
      </c>
      <c r="D56" s="43" t="str">
        <f>IF(C56="","",INDEX(I_CO2,L56))</f>
        <v/>
      </c>
      <c r="E56" s="57" t="str">
        <f>IF(C56="","",D56/S_YTD)</f>
        <v/>
      </c>
      <c r="F56" s="44" t="str">
        <f>IF(C56="","",INDEX(I_kWh,L56))</f>
        <v/>
      </c>
      <c r="G56" s="45" t="str">
        <f>IF(C56="","",INDEX(I_TO,L56))</f>
        <v/>
      </c>
      <c r="H56" s="46" t="str">
        <f>IF(C56="","",INDEX(I_Brut,L56))</f>
        <v/>
      </c>
      <c r="I56" s="41" t="str">
        <f>IF(C56="","",IF(H56&gt;0,D56*1000/H56,""))</f>
        <v/>
      </c>
      <c r="J56" s="58" t="str">
        <f>IF(C56="","",INDEX(M_FE,L56))</f>
        <v/>
      </c>
      <c r="K56" s="2" t="str">
        <f>IF(C56="","",INDEX(M_Src,L56))</f>
        <v/>
      </c>
      <c r="L56" s="59">
        <f>MATCH(LARGE(I_Key,17),I_Key,0)</f>
        <v>17</v>
      </c>
    </row>
    <row r="57">
      <c r="B57" s="56" t="str">
        <f>IF(C57="","",18)</f>
        <v/>
      </c>
      <c r="C57" s="7" t="str">
        <f>IF(INDEX(I_CO2,L57)&gt;0,INDEX(I_Nom,L57),"")</f>
        <v/>
      </c>
      <c r="D57" s="43" t="str">
        <f>IF(C57="","",INDEX(I_CO2,L57))</f>
        <v/>
      </c>
      <c r="E57" s="57" t="str">
        <f>IF(C57="","",D57/S_YTD)</f>
        <v/>
      </c>
      <c r="F57" s="44" t="str">
        <f>IF(C57="","",INDEX(I_kWh,L57))</f>
        <v/>
      </c>
      <c r="G57" s="45" t="str">
        <f>IF(C57="","",INDEX(I_TO,L57))</f>
        <v/>
      </c>
      <c r="H57" s="46" t="str">
        <f>IF(C57="","",INDEX(I_Brut,L57))</f>
        <v/>
      </c>
      <c r="I57" s="41" t="str">
        <f>IF(C57="","",IF(H57&gt;0,D57*1000/H57,""))</f>
        <v/>
      </c>
      <c r="J57" s="58" t="str">
        <f>IF(C57="","",INDEX(M_FE,L57))</f>
        <v/>
      </c>
      <c r="K57" s="2" t="str">
        <f>IF(C57="","",INDEX(M_Src,L57))</f>
        <v/>
      </c>
      <c r="L57" s="59">
        <f>MATCH(LARGE(I_Key,18),I_Key,0)</f>
        <v>18</v>
      </c>
    </row>
    <row r="58">
      <c r="B58" s="56" t="str">
        <f>IF(C58="","",19)</f>
        <v/>
      </c>
      <c r="C58" s="7" t="str">
        <f>IF(INDEX(I_CO2,L58)&gt;0,INDEX(I_Nom,L58),"")</f>
        <v/>
      </c>
      <c r="D58" s="43" t="str">
        <f>IF(C58="","",INDEX(I_CO2,L58))</f>
        <v/>
      </c>
      <c r="E58" s="57" t="str">
        <f>IF(C58="","",D58/S_YTD)</f>
        <v/>
      </c>
      <c r="F58" s="44" t="str">
        <f>IF(C58="","",INDEX(I_kWh,L58))</f>
        <v/>
      </c>
      <c r="G58" s="45" t="str">
        <f>IF(C58="","",INDEX(I_TO,L58))</f>
        <v/>
      </c>
      <c r="H58" s="46" t="str">
        <f>IF(C58="","",INDEX(I_Brut,L58))</f>
        <v/>
      </c>
      <c r="I58" s="41" t="str">
        <f>IF(C58="","",IF(H58&gt;0,D58*1000/H58,""))</f>
        <v/>
      </c>
      <c r="J58" s="58" t="str">
        <f>IF(C58="","",INDEX(M_FE,L58))</f>
        <v/>
      </c>
      <c r="K58" s="2" t="str">
        <f>IF(C58="","",INDEX(M_Src,L58))</f>
        <v/>
      </c>
      <c r="L58" s="59">
        <f>MATCH(LARGE(I_Key,19),I_Key,0)</f>
        <v>19</v>
      </c>
    </row>
    <row r="59">
      <c r="B59" s="56" t="str">
        <f>IF(C59="","",20)</f>
        <v/>
      </c>
      <c r="C59" s="7" t="str">
        <f>IF(INDEX(I_CO2,L59)&gt;0,INDEX(I_Nom,L59),"")</f>
        <v/>
      </c>
      <c r="D59" s="43" t="str">
        <f>IF(C59="","",INDEX(I_CO2,L59))</f>
        <v/>
      </c>
      <c r="E59" s="57" t="str">
        <f>IF(C59="","",D59/S_YTD)</f>
        <v/>
      </c>
      <c r="F59" s="44" t="str">
        <f>IF(C59="","",INDEX(I_kWh,L59))</f>
        <v/>
      </c>
      <c r="G59" s="45" t="str">
        <f>IF(C59="","",INDEX(I_TO,L59))</f>
        <v/>
      </c>
      <c r="H59" s="46" t="str">
        <f>IF(C59="","",INDEX(I_Brut,L59))</f>
        <v/>
      </c>
      <c r="I59" s="41" t="str">
        <f>IF(C59="","",IF(H59&gt;0,D59*1000/H59,""))</f>
        <v/>
      </c>
      <c r="J59" s="58" t="str">
        <f>IF(C59="","",INDEX(M_FE,L59))</f>
        <v/>
      </c>
      <c r="K59" s="2" t="str">
        <f>IF(C59="","",INDEX(M_Src,L59))</f>
        <v/>
      </c>
      <c r="L59" s="59">
        <f>MATCH(LARGE(I_Key,20),I_Key,0)</f>
        <v>20</v>
      </c>
    </row>
    <row r="60">
      <c r="B60" s="56" t="str">
        <f>IF(C60="","",21)</f>
        <v/>
      </c>
      <c r="C60" s="7" t="str">
        <f>IF(INDEX(I_CO2,L60)&gt;0,INDEX(I_Nom,L60),"")</f>
        <v/>
      </c>
      <c r="D60" s="43" t="str">
        <f>IF(C60="","",INDEX(I_CO2,L60))</f>
        <v/>
      </c>
      <c r="E60" s="57" t="str">
        <f>IF(C60="","",D60/S_YTD)</f>
        <v/>
      </c>
      <c r="F60" s="44" t="str">
        <f>IF(C60="","",INDEX(I_kWh,L60))</f>
        <v/>
      </c>
      <c r="G60" s="45" t="str">
        <f>IF(C60="","",INDEX(I_TO,L60))</f>
        <v/>
      </c>
      <c r="H60" s="46" t="str">
        <f>IF(C60="","",INDEX(I_Brut,L60))</f>
        <v/>
      </c>
      <c r="I60" s="41" t="str">
        <f>IF(C60="","",IF(H60&gt;0,D60*1000/H60,""))</f>
        <v/>
      </c>
      <c r="J60" s="58" t="str">
        <f>IF(C60="","",INDEX(M_FE,L60))</f>
        <v/>
      </c>
      <c r="K60" s="2" t="str">
        <f>IF(C60="","",INDEX(M_Src,L60))</f>
        <v/>
      </c>
      <c r="L60" s="59">
        <f>MATCH(LARGE(I_Key,21),I_Key,0)</f>
        <v>21</v>
      </c>
    </row>
    <row r="61">
      <c r="B61" s="56" t="str">
        <f>IF(C61="","",22)</f>
        <v/>
      </c>
      <c r="C61" s="7" t="str">
        <f>IF(INDEX(I_CO2,L61)&gt;0,INDEX(I_Nom,L61),"")</f>
        <v/>
      </c>
      <c r="D61" s="43" t="str">
        <f>IF(C61="","",INDEX(I_CO2,L61))</f>
        <v/>
      </c>
      <c r="E61" s="57" t="str">
        <f>IF(C61="","",D61/S_YTD)</f>
        <v/>
      </c>
      <c r="F61" s="44" t="str">
        <f>IF(C61="","",INDEX(I_kWh,L61))</f>
        <v/>
      </c>
      <c r="G61" s="45" t="str">
        <f>IF(C61="","",INDEX(I_TO,L61))</f>
        <v/>
      </c>
      <c r="H61" s="46" t="str">
        <f>IF(C61="","",INDEX(I_Brut,L61))</f>
        <v/>
      </c>
      <c r="I61" s="41" t="str">
        <f>IF(C61="","",IF(H61&gt;0,D61*1000/H61,""))</f>
        <v/>
      </c>
      <c r="J61" s="58" t="str">
        <f>IF(C61="","",INDEX(M_FE,L61))</f>
        <v/>
      </c>
      <c r="K61" s="2" t="str">
        <f>IF(C61="","",INDEX(M_Src,L61))</f>
        <v/>
      </c>
      <c r="L61" s="59">
        <f>MATCH(LARGE(I_Key,22),I_Key,0)</f>
        <v>22</v>
      </c>
    </row>
    <row r="62">
      <c r="B62" s="56" t="str">
        <f>IF(C62="","",23)</f>
        <v/>
      </c>
      <c r="C62" s="7" t="str">
        <f>IF(INDEX(I_CO2,L62)&gt;0,INDEX(I_Nom,L62),"")</f>
        <v/>
      </c>
      <c r="D62" s="43" t="str">
        <f>IF(C62="","",INDEX(I_CO2,L62))</f>
        <v/>
      </c>
      <c r="E62" s="57" t="str">
        <f>IF(C62="","",D62/S_YTD)</f>
        <v/>
      </c>
      <c r="F62" s="44" t="str">
        <f>IF(C62="","",INDEX(I_kWh,L62))</f>
        <v/>
      </c>
      <c r="G62" s="45" t="str">
        <f>IF(C62="","",INDEX(I_TO,L62))</f>
        <v/>
      </c>
      <c r="H62" s="46" t="str">
        <f>IF(C62="","",INDEX(I_Brut,L62))</f>
        <v/>
      </c>
      <c r="I62" s="41" t="str">
        <f>IF(C62="","",IF(H62&gt;0,D62*1000/H62,""))</f>
        <v/>
      </c>
      <c r="J62" s="58" t="str">
        <f>IF(C62="","",INDEX(M_FE,L62))</f>
        <v/>
      </c>
      <c r="K62" s="2" t="str">
        <f>IF(C62="","",INDEX(M_Src,L62))</f>
        <v/>
      </c>
      <c r="L62" s="59">
        <f>MATCH(LARGE(I_Key,23),I_Key,0)</f>
        <v>23</v>
      </c>
    </row>
    <row r="63">
      <c r="B63" s="56" t="str">
        <f>IF(C63="","",24)</f>
        <v/>
      </c>
      <c r="C63" s="7" t="str">
        <f>IF(INDEX(I_CO2,L63)&gt;0,INDEX(I_Nom,L63),"")</f>
        <v/>
      </c>
      <c r="D63" s="43" t="str">
        <f>IF(C63="","",INDEX(I_CO2,L63))</f>
        <v/>
      </c>
      <c r="E63" s="57" t="str">
        <f>IF(C63="","",D63/S_YTD)</f>
        <v/>
      </c>
      <c r="F63" s="44" t="str">
        <f>IF(C63="","",INDEX(I_kWh,L63))</f>
        <v/>
      </c>
      <c r="G63" s="45" t="str">
        <f>IF(C63="","",INDEX(I_TO,L63))</f>
        <v/>
      </c>
      <c r="H63" s="46" t="str">
        <f>IF(C63="","",INDEX(I_Brut,L63))</f>
        <v/>
      </c>
      <c r="I63" s="41" t="str">
        <f>IF(C63="","",IF(H63&gt;0,D63*1000/H63,""))</f>
        <v/>
      </c>
      <c r="J63" s="58" t="str">
        <f>IF(C63="","",INDEX(M_FE,L63))</f>
        <v/>
      </c>
      <c r="K63" s="2" t="str">
        <f>IF(C63="","",INDEX(M_Src,L63))</f>
        <v/>
      </c>
      <c r="L63" s="59">
        <f>MATCH(LARGE(I_Key,24),I_Key,0)</f>
        <v>24</v>
      </c>
    </row>
    <row r="64">
      <c r="B64" s="56" t="str">
        <f>IF(C64="","",25)</f>
        <v/>
      </c>
      <c r="C64" s="7" t="str">
        <f>IF(INDEX(I_CO2,L64)&gt;0,INDEX(I_Nom,L64),"")</f>
        <v/>
      </c>
      <c r="D64" s="43" t="str">
        <f>IF(C64="","",INDEX(I_CO2,L64))</f>
        <v/>
      </c>
      <c r="E64" s="57" t="str">
        <f>IF(C64="","",D64/S_YTD)</f>
        <v/>
      </c>
      <c r="F64" s="44" t="str">
        <f>IF(C64="","",INDEX(I_kWh,L64))</f>
        <v/>
      </c>
      <c r="G64" s="45" t="str">
        <f>IF(C64="","",INDEX(I_TO,L64))</f>
        <v/>
      </c>
      <c r="H64" s="46" t="str">
        <f>IF(C64="","",INDEX(I_Brut,L64))</f>
        <v/>
      </c>
      <c r="I64" s="41" t="str">
        <f>IF(C64="","",IF(H64&gt;0,D64*1000/H64,""))</f>
        <v/>
      </c>
      <c r="J64" s="58" t="str">
        <f>IF(C64="","",INDEX(M_FE,L64))</f>
        <v/>
      </c>
      <c r="K64" s="2" t="str">
        <f>IF(C64="","",INDEX(M_Src,L64))</f>
        <v/>
      </c>
      <c r="L64" s="59">
        <f>MATCH(LARGE(I_Key,25),I_Key,0)</f>
        <v>25</v>
      </c>
    </row>
    <row r="65">
      <c r="B65" s="56" t="str">
        <f>IF(C65="","",26)</f>
        <v/>
      </c>
      <c r="C65" s="7" t="str">
        <f>IF(INDEX(I_CO2,L65)&gt;0,INDEX(I_Nom,L65),"")</f>
        <v/>
      </c>
      <c r="D65" s="43" t="str">
        <f>IF(C65="","",INDEX(I_CO2,L65))</f>
        <v/>
      </c>
      <c r="E65" s="57" t="str">
        <f>IF(C65="","",D65/S_YTD)</f>
        <v/>
      </c>
      <c r="F65" s="44" t="str">
        <f>IF(C65="","",INDEX(I_kWh,L65))</f>
        <v/>
      </c>
      <c r="G65" s="45" t="str">
        <f>IF(C65="","",INDEX(I_TO,L65))</f>
        <v/>
      </c>
      <c r="H65" s="46" t="str">
        <f>IF(C65="","",INDEX(I_Brut,L65))</f>
        <v/>
      </c>
      <c r="I65" s="41" t="str">
        <f>IF(C65="","",IF(H65&gt;0,D65*1000/H65,""))</f>
        <v/>
      </c>
      <c r="J65" s="58" t="str">
        <f>IF(C65="","",INDEX(M_FE,L65))</f>
        <v/>
      </c>
      <c r="K65" s="2" t="str">
        <f>IF(C65="","",INDEX(M_Src,L65))</f>
        <v/>
      </c>
      <c r="L65" s="59">
        <f>MATCH(LARGE(I_Key,26),I_Key,0)</f>
        <v>26</v>
      </c>
    </row>
    <row r="66">
      <c r="B66" s="56" t="str">
        <f>IF(C66="","",27)</f>
        <v/>
      </c>
      <c r="C66" s="7" t="str">
        <f>IF(INDEX(I_CO2,L66)&gt;0,INDEX(I_Nom,L66),"")</f>
        <v/>
      </c>
      <c r="D66" s="43" t="str">
        <f>IF(C66="","",INDEX(I_CO2,L66))</f>
        <v/>
      </c>
      <c r="E66" s="57" t="str">
        <f>IF(C66="","",D66/S_YTD)</f>
        <v/>
      </c>
      <c r="F66" s="44" t="str">
        <f>IF(C66="","",INDEX(I_kWh,L66))</f>
        <v/>
      </c>
      <c r="G66" s="45" t="str">
        <f>IF(C66="","",INDEX(I_TO,L66))</f>
        <v/>
      </c>
      <c r="H66" s="46" t="str">
        <f>IF(C66="","",INDEX(I_Brut,L66))</f>
        <v/>
      </c>
      <c r="I66" s="41" t="str">
        <f>IF(C66="","",IF(H66&gt;0,D66*1000/H66,""))</f>
        <v/>
      </c>
      <c r="J66" s="58" t="str">
        <f>IF(C66="","",INDEX(M_FE,L66))</f>
        <v/>
      </c>
      <c r="K66" s="2" t="str">
        <f>IF(C66="","",INDEX(M_Src,L66))</f>
        <v/>
      </c>
      <c r="L66" s="59">
        <f>MATCH(LARGE(I_Key,27),I_Key,0)</f>
        <v>27</v>
      </c>
    </row>
    <row r="67">
      <c r="B67" s="56" t="str">
        <f>IF(C67="","",28)</f>
        <v/>
      </c>
      <c r="C67" s="7" t="str">
        <f>IF(INDEX(I_CO2,L67)&gt;0,INDEX(I_Nom,L67),"")</f>
        <v/>
      </c>
      <c r="D67" s="43" t="str">
        <f>IF(C67="","",INDEX(I_CO2,L67))</f>
        <v/>
      </c>
      <c r="E67" s="57" t="str">
        <f>IF(C67="","",D67/S_YTD)</f>
        <v/>
      </c>
      <c r="F67" s="44" t="str">
        <f>IF(C67="","",INDEX(I_kWh,L67))</f>
        <v/>
      </c>
      <c r="G67" s="45" t="str">
        <f>IF(C67="","",INDEX(I_TO,L67))</f>
        <v/>
      </c>
      <c r="H67" s="46" t="str">
        <f>IF(C67="","",INDEX(I_Brut,L67))</f>
        <v/>
      </c>
      <c r="I67" s="41" t="str">
        <f>IF(C67="","",IF(H67&gt;0,D67*1000/H67,""))</f>
        <v/>
      </c>
      <c r="J67" s="58" t="str">
        <f>IF(C67="","",INDEX(M_FE,L67))</f>
        <v/>
      </c>
      <c r="K67" s="2" t="str">
        <f>IF(C67="","",INDEX(M_Src,L67))</f>
        <v/>
      </c>
      <c r="L67" s="59">
        <f>MATCH(LARGE(I_Key,28),I_Key,0)</f>
        <v>28</v>
      </c>
    </row>
    <row r="68">
      <c r="B68" s="56" t="str">
        <f>IF(C68="","",29)</f>
        <v/>
      </c>
      <c r="C68" s="7" t="str">
        <f>IF(INDEX(I_CO2,L68)&gt;0,INDEX(I_Nom,L68),"")</f>
        <v/>
      </c>
      <c r="D68" s="43" t="str">
        <f>IF(C68="","",INDEX(I_CO2,L68))</f>
        <v/>
      </c>
      <c r="E68" s="57" t="str">
        <f>IF(C68="","",D68/S_YTD)</f>
        <v/>
      </c>
      <c r="F68" s="44" t="str">
        <f>IF(C68="","",INDEX(I_kWh,L68))</f>
        <v/>
      </c>
      <c r="G68" s="45" t="str">
        <f>IF(C68="","",INDEX(I_TO,L68))</f>
        <v/>
      </c>
      <c r="H68" s="46" t="str">
        <f>IF(C68="","",INDEX(I_Brut,L68))</f>
        <v/>
      </c>
      <c r="I68" s="41" t="str">
        <f>IF(C68="","",IF(H68&gt;0,D68*1000/H68,""))</f>
        <v/>
      </c>
      <c r="J68" s="58" t="str">
        <f>IF(C68="","",INDEX(M_FE,L68))</f>
        <v/>
      </c>
      <c r="K68" s="2" t="str">
        <f>IF(C68="","",INDEX(M_Src,L68))</f>
        <v/>
      </c>
      <c r="L68" s="59">
        <f>MATCH(LARGE(I_Key,29),I_Key,0)</f>
        <v>29</v>
      </c>
    </row>
    <row r="69">
      <c r="B69" s="56" t="str">
        <f>IF(C69="","",30)</f>
        <v/>
      </c>
      <c r="C69" s="7" t="str">
        <f>IF(INDEX(I_CO2,L69)&gt;0,INDEX(I_Nom,L69),"")</f>
        <v/>
      </c>
      <c r="D69" s="43" t="str">
        <f>IF(C69="","",INDEX(I_CO2,L69))</f>
        <v/>
      </c>
      <c r="E69" s="57" t="str">
        <f>IF(C69="","",D69/S_YTD)</f>
        <v/>
      </c>
      <c r="F69" s="44" t="str">
        <f>IF(C69="","",INDEX(I_kWh,L69))</f>
        <v/>
      </c>
      <c r="G69" s="45" t="str">
        <f>IF(C69="","",INDEX(I_TO,L69))</f>
        <v/>
      </c>
      <c r="H69" s="46" t="str">
        <f>IF(C69="","",INDEX(I_Brut,L69))</f>
        <v/>
      </c>
      <c r="I69" s="41" t="str">
        <f>IF(C69="","",IF(H69&gt;0,D69*1000/H69,""))</f>
        <v/>
      </c>
      <c r="J69" s="58" t="str">
        <f>IF(C69="","",INDEX(M_FE,L69))</f>
        <v/>
      </c>
      <c r="K69" s="2" t="str">
        <f>IF(C69="","",INDEX(M_Src,L69))</f>
        <v/>
      </c>
      <c r="L69" s="59">
        <f>MATCH(LARGE(I_Key,30),I_Key,0)</f>
        <v>30</v>
      </c>
    </row>
    <row r="70">
      <c r="B70" s="56" t="str">
        <f>IF(C70="","",31)</f>
        <v/>
      </c>
      <c r="C70" s="7" t="str">
        <f>IF(INDEX(I_CO2,L70)&gt;0,INDEX(I_Nom,L70),"")</f>
        <v/>
      </c>
      <c r="D70" s="43" t="str">
        <f>IF(C70="","",INDEX(I_CO2,L70))</f>
        <v/>
      </c>
      <c r="E70" s="57" t="str">
        <f>IF(C70="","",D70/S_YTD)</f>
        <v/>
      </c>
      <c r="F70" s="44" t="str">
        <f>IF(C70="","",INDEX(I_kWh,L70))</f>
        <v/>
      </c>
      <c r="G70" s="45" t="str">
        <f>IF(C70="","",INDEX(I_TO,L70))</f>
        <v/>
      </c>
      <c r="H70" s="46" t="str">
        <f>IF(C70="","",INDEX(I_Brut,L70))</f>
        <v/>
      </c>
      <c r="I70" s="41" t="str">
        <f>IF(C70="","",IF(H70&gt;0,D70*1000/H70,""))</f>
        <v/>
      </c>
      <c r="J70" s="58" t="str">
        <f>IF(C70="","",INDEX(M_FE,L70))</f>
        <v/>
      </c>
      <c r="K70" s="2" t="str">
        <f>IF(C70="","",INDEX(M_Src,L70))</f>
        <v/>
      </c>
      <c r="L70" s="59">
        <f>MATCH(LARGE(I_Key,31),I_Key,0)</f>
        <v>31</v>
      </c>
    </row>
    <row r="71">
      <c r="B71" s="56" t="str">
        <f>IF(C71="","",32)</f>
        <v/>
      </c>
      <c r="C71" s="7" t="str">
        <f>IF(INDEX(I_CO2,L71)&gt;0,INDEX(I_Nom,L71),"")</f>
        <v/>
      </c>
      <c r="D71" s="43" t="str">
        <f>IF(C71="","",INDEX(I_CO2,L71))</f>
        <v/>
      </c>
      <c r="E71" s="57" t="str">
        <f>IF(C71="","",D71/S_YTD)</f>
        <v/>
      </c>
      <c r="F71" s="44" t="str">
        <f>IF(C71="","",INDEX(I_kWh,L71))</f>
        <v/>
      </c>
      <c r="G71" s="45" t="str">
        <f>IF(C71="","",INDEX(I_TO,L71))</f>
        <v/>
      </c>
      <c r="H71" s="46" t="str">
        <f>IF(C71="","",INDEX(I_Brut,L71))</f>
        <v/>
      </c>
      <c r="I71" s="41" t="str">
        <f>IF(C71="","",IF(H71&gt;0,D71*1000/H71,""))</f>
        <v/>
      </c>
      <c r="J71" s="58" t="str">
        <f>IF(C71="","",INDEX(M_FE,L71))</f>
        <v/>
      </c>
      <c r="K71" s="2" t="str">
        <f>IF(C71="","",INDEX(M_Src,L71))</f>
        <v/>
      </c>
      <c r="L71" s="59">
        <f>MATCH(LARGE(I_Key,32),I_Key,0)</f>
        <v>32</v>
      </c>
    </row>
    <row r="72">
      <c r="B72" s="56" t="str">
        <f>IF(C72="","",33)</f>
        <v/>
      </c>
      <c r="C72" s="7" t="str">
        <f>IF(INDEX(I_CO2,L72)&gt;0,INDEX(I_Nom,L72),"")</f>
        <v/>
      </c>
      <c r="D72" s="43" t="str">
        <f>IF(C72="","",INDEX(I_CO2,L72))</f>
        <v/>
      </c>
      <c r="E72" s="57" t="str">
        <f>IF(C72="","",D72/S_YTD)</f>
        <v/>
      </c>
      <c r="F72" s="44" t="str">
        <f>IF(C72="","",INDEX(I_kWh,L72))</f>
        <v/>
      </c>
      <c r="G72" s="45" t="str">
        <f>IF(C72="","",INDEX(I_TO,L72))</f>
        <v/>
      </c>
      <c r="H72" s="46" t="str">
        <f>IF(C72="","",INDEX(I_Brut,L72))</f>
        <v/>
      </c>
      <c r="I72" s="41" t="str">
        <f>IF(C72="","",IF(H72&gt;0,D72*1000/H72,""))</f>
        <v/>
      </c>
      <c r="J72" s="58" t="str">
        <f>IF(C72="","",INDEX(M_FE,L72))</f>
        <v/>
      </c>
      <c r="K72" s="2" t="str">
        <f>IF(C72="","",INDEX(M_Src,L72))</f>
        <v/>
      </c>
      <c r="L72" s="59">
        <f>MATCH(LARGE(I_Key,33),I_Key,0)</f>
        <v>33</v>
      </c>
    </row>
    <row r="73">
      <c r="B73" s="56" t="str">
        <f>IF(C73="","",34)</f>
        <v/>
      </c>
      <c r="C73" s="7" t="str">
        <f>IF(INDEX(I_CO2,L73)&gt;0,INDEX(I_Nom,L73),"")</f>
        <v/>
      </c>
      <c r="D73" s="43" t="str">
        <f>IF(C73="","",INDEX(I_CO2,L73))</f>
        <v/>
      </c>
      <c r="E73" s="57" t="str">
        <f>IF(C73="","",D73/S_YTD)</f>
        <v/>
      </c>
      <c r="F73" s="44" t="str">
        <f>IF(C73="","",INDEX(I_kWh,L73))</f>
        <v/>
      </c>
      <c r="G73" s="45" t="str">
        <f>IF(C73="","",INDEX(I_TO,L73))</f>
        <v/>
      </c>
      <c r="H73" s="46" t="str">
        <f>IF(C73="","",INDEX(I_Brut,L73))</f>
        <v/>
      </c>
      <c r="I73" s="41" t="str">
        <f>IF(C73="","",IF(H73&gt;0,D73*1000/H73,""))</f>
        <v/>
      </c>
      <c r="J73" s="58" t="str">
        <f>IF(C73="","",INDEX(M_FE,L73))</f>
        <v/>
      </c>
      <c r="K73" s="2" t="str">
        <f>IF(C73="","",INDEX(M_Src,L73))</f>
        <v/>
      </c>
      <c r="L73" s="59">
        <f>MATCH(LARGE(I_Key,34),I_Key,0)</f>
        <v>34</v>
      </c>
    </row>
    <row r="74">
      <c r="B74" s="56" t="str">
        <f>IF(C74="","",35)</f>
        <v/>
      </c>
      <c r="C74" s="7" t="str">
        <f>IF(INDEX(I_CO2,L74)&gt;0,INDEX(I_Nom,L74),"")</f>
        <v/>
      </c>
      <c r="D74" s="43" t="str">
        <f>IF(C74="","",INDEX(I_CO2,L74))</f>
        <v/>
      </c>
      <c r="E74" s="57" t="str">
        <f>IF(C74="","",D74/S_YTD)</f>
        <v/>
      </c>
      <c r="F74" s="44" t="str">
        <f>IF(C74="","",INDEX(I_kWh,L74))</f>
        <v/>
      </c>
      <c r="G74" s="45" t="str">
        <f>IF(C74="","",INDEX(I_TO,L74))</f>
        <v/>
      </c>
      <c r="H74" s="46" t="str">
        <f>IF(C74="","",INDEX(I_Brut,L74))</f>
        <v/>
      </c>
      <c r="I74" s="41" t="str">
        <f>IF(C74="","",IF(H74&gt;0,D74*1000/H74,""))</f>
        <v/>
      </c>
      <c r="J74" s="58" t="str">
        <f>IF(C74="","",INDEX(M_FE,L74))</f>
        <v/>
      </c>
      <c r="K74" s="2" t="str">
        <f>IF(C74="","",INDEX(M_Src,L74))</f>
        <v/>
      </c>
      <c r="L74" s="59">
        <f>MATCH(LARGE(I_Key,35),I_Key,0)</f>
        <v>35</v>
      </c>
    </row>
    <row r="75">
      <c r="B75" s="56" t="str">
        <f>IF(C75="","",36)</f>
        <v/>
      </c>
      <c r="C75" s="7" t="str">
        <f>IF(INDEX(I_CO2,L75)&gt;0,INDEX(I_Nom,L75),"")</f>
        <v/>
      </c>
      <c r="D75" s="43" t="str">
        <f>IF(C75="","",INDEX(I_CO2,L75))</f>
        <v/>
      </c>
      <c r="E75" s="57" t="str">
        <f>IF(C75="","",D75/S_YTD)</f>
        <v/>
      </c>
      <c r="F75" s="44" t="str">
        <f>IF(C75="","",INDEX(I_kWh,L75))</f>
        <v/>
      </c>
      <c r="G75" s="45" t="str">
        <f>IF(C75="","",INDEX(I_TO,L75))</f>
        <v/>
      </c>
      <c r="H75" s="46" t="str">
        <f>IF(C75="","",INDEX(I_Brut,L75))</f>
        <v/>
      </c>
      <c r="I75" s="41" t="str">
        <f>IF(C75="","",IF(H75&gt;0,D75*1000/H75,""))</f>
        <v/>
      </c>
      <c r="J75" s="58" t="str">
        <f>IF(C75="","",INDEX(M_FE,L75))</f>
        <v/>
      </c>
      <c r="K75" s="2" t="str">
        <f>IF(C75="","",INDEX(M_Src,L75))</f>
        <v/>
      </c>
      <c r="L75" s="59">
        <f>MATCH(LARGE(I_Key,36),I_Key,0)</f>
        <v>36</v>
      </c>
    </row>
    <row r="76">
      <c r="B76" s="56" t="str">
        <f>IF(C76="","",37)</f>
        <v/>
      </c>
      <c r="C76" s="7" t="str">
        <f>IF(INDEX(I_CO2,L76)&gt;0,INDEX(I_Nom,L76),"")</f>
        <v/>
      </c>
      <c r="D76" s="43" t="str">
        <f>IF(C76="","",INDEX(I_CO2,L76))</f>
        <v/>
      </c>
      <c r="E76" s="57" t="str">
        <f>IF(C76="","",D76/S_YTD)</f>
        <v/>
      </c>
      <c r="F76" s="44" t="str">
        <f>IF(C76="","",INDEX(I_kWh,L76))</f>
        <v/>
      </c>
      <c r="G76" s="45" t="str">
        <f>IF(C76="","",INDEX(I_TO,L76))</f>
        <v/>
      </c>
      <c r="H76" s="46" t="str">
        <f>IF(C76="","",INDEX(I_Brut,L76))</f>
        <v/>
      </c>
      <c r="I76" s="41" t="str">
        <f>IF(C76="","",IF(H76&gt;0,D76*1000/H76,""))</f>
        <v/>
      </c>
      <c r="J76" s="58" t="str">
        <f>IF(C76="","",INDEX(M_FE,L76))</f>
        <v/>
      </c>
      <c r="K76" s="2" t="str">
        <f>IF(C76="","",INDEX(M_Src,L76))</f>
        <v/>
      </c>
      <c r="L76" s="59">
        <f>MATCH(LARGE(I_Key,37),I_Key,0)</f>
        <v>37</v>
      </c>
    </row>
    <row r="77">
      <c r="B77" s="56" t="str">
        <f>IF(C77="","",38)</f>
        <v/>
      </c>
      <c r="C77" s="7" t="str">
        <f>IF(INDEX(I_CO2,L77)&gt;0,INDEX(I_Nom,L77),"")</f>
        <v/>
      </c>
      <c r="D77" s="43" t="str">
        <f>IF(C77="","",INDEX(I_CO2,L77))</f>
        <v/>
      </c>
      <c r="E77" s="57" t="str">
        <f>IF(C77="","",D77/S_YTD)</f>
        <v/>
      </c>
      <c r="F77" s="44" t="str">
        <f>IF(C77="","",INDEX(I_kWh,L77))</f>
        <v/>
      </c>
      <c r="G77" s="45" t="str">
        <f>IF(C77="","",INDEX(I_TO,L77))</f>
        <v/>
      </c>
      <c r="H77" s="46" t="str">
        <f>IF(C77="","",INDEX(I_Brut,L77))</f>
        <v/>
      </c>
      <c r="I77" s="41" t="str">
        <f>IF(C77="","",IF(H77&gt;0,D77*1000/H77,""))</f>
        <v/>
      </c>
      <c r="J77" s="58" t="str">
        <f>IF(C77="","",INDEX(M_FE,L77))</f>
        <v/>
      </c>
      <c r="K77" s="2" t="str">
        <f>IF(C77="","",INDEX(M_Src,L77))</f>
        <v/>
      </c>
      <c r="L77" s="59">
        <f>MATCH(LARGE(I_Key,38),I_Key,0)</f>
        <v>38</v>
      </c>
    </row>
    <row r="78">
      <c r="B78" s="56" t="str">
        <f>IF(C78="","",39)</f>
        <v/>
      </c>
      <c r="C78" s="7" t="str">
        <f>IF(INDEX(I_CO2,L78)&gt;0,INDEX(I_Nom,L78),"")</f>
        <v/>
      </c>
      <c r="D78" s="43" t="str">
        <f>IF(C78="","",INDEX(I_CO2,L78))</f>
        <v/>
      </c>
      <c r="E78" s="57" t="str">
        <f>IF(C78="","",D78/S_YTD)</f>
        <v/>
      </c>
      <c r="F78" s="44" t="str">
        <f>IF(C78="","",INDEX(I_kWh,L78))</f>
        <v/>
      </c>
      <c r="G78" s="45" t="str">
        <f>IF(C78="","",INDEX(I_TO,L78))</f>
        <v/>
      </c>
      <c r="H78" s="46" t="str">
        <f>IF(C78="","",INDEX(I_Brut,L78))</f>
        <v/>
      </c>
      <c r="I78" s="41" t="str">
        <f>IF(C78="","",IF(H78&gt;0,D78*1000/H78,""))</f>
        <v/>
      </c>
      <c r="J78" s="58" t="str">
        <f>IF(C78="","",INDEX(M_FE,L78))</f>
        <v/>
      </c>
      <c r="K78" s="2" t="str">
        <f>IF(C78="","",INDEX(M_Src,L78))</f>
        <v/>
      </c>
      <c r="L78" s="59">
        <f>MATCH(LARGE(I_Key,39),I_Key,0)</f>
        <v>39</v>
      </c>
    </row>
    <row r="79">
      <c r="B79" s="56" t="str">
        <f>IF(C79="","",40)</f>
        <v/>
      </c>
      <c r="C79" s="7" t="str">
        <f>IF(INDEX(I_CO2,L79)&gt;0,INDEX(I_Nom,L79),"")</f>
        <v/>
      </c>
      <c r="D79" s="43" t="str">
        <f>IF(C79="","",INDEX(I_CO2,L79))</f>
        <v/>
      </c>
      <c r="E79" s="57" t="str">
        <f>IF(C79="","",D79/S_YTD)</f>
        <v/>
      </c>
      <c r="F79" s="44" t="str">
        <f>IF(C79="","",INDEX(I_kWh,L79))</f>
        <v/>
      </c>
      <c r="G79" s="45" t="str">
        <f>IF(C79="","",INDEX(I_TO,L79))</f>
        <v/>
      </c>
      <c r="H79" s="46" t="str">
        <f>IF(C79="","",INDEX(I_Brut,L79))</f>
        <v/>
      </c>
      <c r="I79" s="41" t="str">
        <f>IF(C79="","",IF(H79&gt;0,D79*1000/H79,""))</f>
        <v/>
      </c>
      <c r="J79" s="58" t="str">
        <f>IF(C79="","",INDEX(M_FE,L79))</f>
        <v/>
      </c>
      <c r="K79" s="2" t="str">
        <f>IF(C79="","",INDEX(M_Src,L79))</f>
        <v/>
      </c>
      <c r="L79" s="59">
        <f>MATCH(LARGE(I_Key,40),I_Key,0)</f>
        <v>40</v>
      </c>
    </row>
    <row r="80">
      <c r="B80" s="56" t="str">
        <f>IF(C80="","",41)</f>
        <v/>
      </c>
      <c r="C80" s="7" t="str">
        <f>IF(INDEX(I_CO2,L80)&gt;0,INDEX(I_Nom,L80),"")</f>
        <v/>
      </c>
      <c r="D80" s="43" t="str">
        <f>IF(C80="","",INDEX(I_CO2,L80))</f>
        <v/>
      </c>
      <c r="E80" s="57" t="str">
        <f>IF(C80="","",D80/S_YTD)</f>
        <v/>
      </c>
      <c r="F80" s="44" t="str">
        <f>IF(C80="","",INDEX(I_kWh,L80))</f>
        <v/>
      </c>
      <c r="G80" s="45" t="str">
        <f>IF(C80="","",INDEX(I_TO,L80))</f>
        <v/>
      </c>
      <c r="H80" s="46" t="str">
        <f>IF(C80="","",INDEX(I_Brut,L80))</f>
        <v/>
      </c>
      <c r="I80" s="41" t="str">
        <f>IF(C80="","",IF(H80&gt;0,D80*1000/H80,""))</f>
        <v/>
      </c>
      <c r="J80" s="58" t="str">
        <f>IF(C80="","",INDEX(M_FE,L80))</f>
        <v/>
      </c>
      <c r="K80" s="2" t="str">
        <f>IF(C80="","",INDEX(M_Src,L80))</f>
        <v/>
      </c>
      <c r="L80" s="59">
        <f>MATCH(LARGE(I_Key,41),I_Key,0)</f>
        <v>41</v>
      </c>
    </row>
    <row r="81">
      <c r="B81" s="56" t="str">
        <f>IF(C81="","",42)</f>
        <v/>
      </c>
      <c r="C81" s="7" t="str">
        <f>IF(INDEX(I_CO2,L81)&gt;0,INDEX(I_Nom,L81),"")</f>
        <v/>
      </c>
      <c r="D81" s="43" t="str">
        <f>IF(C81="","",INDEX(I_CO2,L81))</f>
        <v/>
      </c>
      <c r="E81" s="57" t="str">
        <f>IF(C81="","",D81/S_YTD)</f>
        <v/>
      </c>
      <c r="F81" s="44" t="str">
        <f>IF(C81="","",INDEX(I_kWh,L81))</f>
        <v/>
      </c>
      <c r="G81" s="45" t="str">
        <f>IF(C81="","",INDEX(I_TO,L81))</f>
        <v/>
      </c>
      <c r="H81" s="46" t="str">
        <f>IF(C81="","",INDEX(I_Brut,L81))</f>
        <v/>
      </c>
      <c r="I81" s="41" t="str">
        <f>IF(C81="","",IF(H81&gt;0,D81*1000/H81,""))</f>
        <v/>
      </c>
      <c r="J81" s="58" t="str">
        <f>IF(C81="","",INDEX(M_FE,L81))</f>
        <v/>
      </c>
      <c r="K81" s="2" t="str">
        <f>IF(C81="","",INDEX(M_Src,L81))</f>
        <v/>
      </c>
      <c r="L81" s="59">
        <f>MATCH(LARGE(I_Key,42),I_Key,0)</f>
        <v>42</v>
      </c>
    </row>
    <row r="82">
      <c r="B82" s="56" t="str">
        <f>IF(C82="","",43)</f>
        <v/>
      </c>
      <c r="C82" s="7" t="str">
        <f>IF(INDEX(I_CO2,L82)&gt;0,INDEX(I_Nom,L82),"")</f>
        <v/>
      </c>
      <c r="D82" s="43" t="str">
        <f>IF(C82="","",INDEX(I_CO2,L82))</f>
        <v/>
      </c>
      <c r="E82" s="57" t="str">
        <f>IF(C82="","",D82/S_YTD)</f>
        <v/>
      </c>
      <c r="F82" s="44" t="str">
        <f>IF(C82="","",INDEX(I_kWh,L82))</f>
        <v/>
      </c>
      <c r="G82" s="45" t="str">
        <f>IF(C82="","",INDEX(I_TO,L82))</f>
        <v/>
      </c>
      <c r="H82" s="46" t="str">
        <f>IF(C82="","",INDEX(I_Brut,L82))</f>
        <v/>
      </c>
      <c r="I82" s="41" t="str">
        <f>IF(C82="","",IF(H82&gt;0,D82*1000/H82,""))</f>
        <v/>
      </c>
      <c r="J82" s="58" t="str">
        <f>IF(C82="","",INDEX(M_FE,L82))</f>
        <v/>
      </c>
      <c r="K82" s="2" t="str">
        <f>IF(C82="","",INDEX(M_Src,L82))</f>
        <v/>
      </c>
      <c r="L82" s="59">
        <f>MATCH(LARGE(I_Key,43),I_Key,0)</f>
        <v>43</v>
      </c>
    </row>
    <row r="83">
      <c r="B83" s="56" t="str">
        <f>IF(C83="","",44)</f>
        <v/>
      </c>
      <c r="C83" s="7" t="str">
        <f>IF(INDEX(I_CO2,L83)&gt;0,INDEX(I_Nom,L83),"")</f>
        <v/>
      </c>
      <c r="D83" s="43" t="str">
        <f>IF(C83="","",INDEX(I_CO2,L83))</f>
        <v/>
      </c>
      <c r="E83" s="57" t="str">
        <f>IF(C83="","",D83/S_YTD)</f>
        <v/>
      </c>
      <c r="F83" s="44" t="str">
        <f>IF(C83="","",INDEX(I_kWh,L83))</f>
        <v/>
      </c>
      <c r="G83" s="45" t="str">
        <f>IF(C83="","",INDEX(I_TO,L83))</f>
        <v/>
      </c>
      <c r="H83" s="46" t="str">
        <f>IF(C83="","",INDEX(I_Brut,L83))</f>
        <v/>
      </c>
      <c r="I83" s="41" t="str">
        <f>IF(C83="","",IF(H83&gt;0,D83*1000/H83,""))</f>
        <v/>
      </c>
      <c r="J83" s="58" t="str">
        <f>IF(C83="","",INDEX(M_FE,L83))</f>
        <v/>
      </c>
      <c r="K83" s="2" t="str">
        <f>IF(C83="","",INDEX(M_Src,L83))</f>
        <v/>
      </c>
      <c r="L83" s="59">
        <f>MATCH(LARGE(I_Key,44),I_Key,0)</f>
        <v>44</v>
      </c>
    </row>
    <row r="84">
      <c r="B84" s="56" t="str">
        <f>IF(C84="","",45)</f>
        <v/>
      </c>
      <c r="C84" s="7" t="str">
        <f>IF(INDEX(I_CO2,L84)&gt;0,INDEX(I_Nom,L84),"")</f>
        <v/>
      </c>
      <c r="D84" s="43" t="str">
        <f>IF(C84="","",INDEX(I_CO2,L84))</f>
        <v/>
      </c>
      <c r="E84" s="57" t="str">
        <f>IF(C84="","",D84/S_YTD)</f>
        <v/>
      </c>
      <c r="F84" s="44" t="str">
        <f>IF(C84="","",INDEX(I_kWh,L84))</f>
        <v/>
      </c>
      <c r="G84" s="45" t="str">
        <f>IF(C84="","",INDEX(I_TO,L84))</f>
        <v/>
      </c>
      <c r="H84" s="46" t="str">
        <f>IF(C84="","",INDEX(I_Brut,L84))</f>
        <v/>
      </c>
      <c r="I84" s="41" t="str">
        <f>IF(C84="","",IF(H84&gt;0,D84*1000/H84,""))</f>
        <v/>
      </c>
      <c r="J84" s="58" t="str">
        <f>IF(C84="","",INDEX(M_FE,L84))</f>
        <v/>
      </c>
      <c r="K84" s="2" t="str">
        <f>IF(C84="","",INDEX(M_Src,L84))</f>
        <v/>
      </c>
      <c r="L84" s="59">
        <f>MATCH(LARGE(I_Key,45),I_Key,0)</f>
        <v>45</v>
      </c>
    </row>
    <row r="85">
      <c r="B85" s="56" t="str">
        <f>IF(C85="","",46)</f>
        <v/>
      </c>
      <c r="C85" s="7" t="str">
        <f>IF(INDEX(I_CO2,L85)&gt;0,INDEX(I_Nom,L85),"")</f>
        <v/>
      </c>
      <c r="D85" s="43" t="str">
        <f>IF(C85="","",INDEX(I_CO2,L85))</f>
        <v/>
      </c>
      <c r="E85" s="57" t="str">
        <f>IF(C85="","",D85/S_YTD)</f>
        <v/>
      </c>
      <c r="F85" s="44" t="str">
        <f>IF(C85="","",INDEX(I_kWh,L85))</f>
        <v/>
      </c>
      <c r="G85" s="45" t="str">
        <f>IF(C85="","",INDEX(I_TO,L85))</f>
        <v/>
      </c>
      <c r="H85" s="46" t="str">
        <f>IF(C85="","",INDEX(I_Brut,L85))</f>
        <v/>
      </c>
      <c r="I85" s="41" t="str">
        <f>IF(C85="","",IF(H85&gt;0,D85*1000/H85,""))</f>
        <v/>
      </c>
      <c r="J85" s="58" t="str">
        <f>IF(C85="","",INDEX(M_FE,L85))</f>
        <v/>
      </c>
      <c r="K85" s="2" t="str">
        <f>IF(C85="","",INDEX(M_Src,L85))</f>
        <v/>
      </c>
      <c r="L85" s="59">
        <f>MATCH(LARGE(I_Key,46),I_Key,0)</f>
        <v>46</v>
      </c>
    </row>
    <row r="86">
      <c r="B86" s="56" t="str">
        <f>IF(C86="","",47)</f>
        <v/>
      </c>
      <c r="C86" s="7" t="str">
        <f>IF(INDEX(I_CO2,L86)&gt;0,INDEX(I_Nom,L86),"")</f>
        <v/>
      </c>
      <c r="D86" s="43" t="str">
        <f>IF(C86="","",INDEX(I_CO2,L86))</f>
        <v/>
      </c>
      <c r="E86" s="57" t="str">
        <f>IF(C86="","",D86/S_YTD)</f>
        <v/>
      </c>
      <c r="F86" s="44" t="str">
        <f>IF(C86="","",INDEX(I_kWh,L86))</f>
        <v/>
      </c>
      <c r="G86" s="45" t="str">
        <f>IF(C86="","",INDEX(I_TO,L86))</f>
        <v/>
      </c>
      <c r="H86" s="46" t="str">
        <f>IF(C86="","",INDEX(I_Brut,L86))</f>
        <v/>
      </c>
      <c r="I86" s="41" t="str">
        <f>IF(C86="","",IF(H86&gt;0,D86*1000/H86,""))</f>
        <v/>
      </c>
      <c r="J86" s="58" t="str">
        <f>IF(C86="","",INDEX(M_FE,L86))</f>
        <v/>
      </c>
      <c r="K86" s="2" t="str">
        <f>IF(C86="","",INDEX(M_Src,L86))</f>
        <v/>
      </c>
      <c r="L86" s="59">
        <f>MATCH(LARGE(I_Key,47),I_Key,0)</f>
        <v>47</v>
      </c>
    </row>
    <row r="87">
      <c r="B87" s="56" t="str">
        <f>IF(C87="","",48)</f>
        <v/>
      </c>
      <c r="C87" s="7" t="str">
        <f>IF(INDEX(I_CO2,L87)&gt;0,INDEX(I_Nom,L87),"")</f>
        <v/>
      </c>
      <c r="D87" s="43" t="str">
        <f>IF(C87="","",INDEX(I_CO2,L87))</f>
        <v/>
      </c>
      <c r="E87" s="57" t="str">
        <f>IF(C87="","",D87/S_YTD)</f>
        <v/>
      </c>
      <c r="F87" s="44" t="str">
        <f>IF(C87="","",INDEX(I_kWh,L87))</f>
        <v/>
      </c>
      <c r="G87" s="45" t="str">
        <f>IF(C87="","",INDEX(I_TO,L87))</f>
        <v/>
      </c>
      <c r="H87" s="46" t="str">
        <f>IF(C87="","",INDEX(I_Brut,L87))</f>
        <v/>
      </c>
      <c r="I87" s="41" t="str">
        <f>IF(C87="","",IF(H87&gt;0,D87*1000/H87,""))</f>
        <v/>
      </c>
      <c r="J87" s="58" t="str">
        <f>IF(C87="","",INDEX(M_FE,L87))</f>
        <v/>
      </c>
      <c r="K87" s="2" t="str">
        <f>IF(C87="","",INDEX(M_Src,L87))</f>
        <v/>
      </c>
      <c r="L87" s="59">
        <f>MATCH(LARGE(I_Key,48),I_Key,0)</f>
        <v>48</v>
      </c>
    </row>
    <row r="88">
      <c r="B88" s="56" t="str">
        <f>IF(C88="","",49)</f>
        <v/>
      </c>
      <c r="C88" s="7" t="str">
        <f>IF(INDEX(I_CO2,L88)&gt;0,INDEX(I_Nom,L88),"")</f>
        <v/>
      </c>
      <c r="D88" s="43" t="str">
        <f>IF(C88="","",INDEX(I_CO2,L88))</f>
        <v/>
      </c>
      <c r="E88" s="57" t="str">
        <f>IF(C88="","",D88/S_YTD)</f>
        <v/>
      </c>
      <c r="F88" s="44" t="str">
        <f>IF(C88="","",INDEX(I_kWh,L88))</f>
        <v/>
      </c>
      <c r="G88" s="45" t="str">
        <f>IF(C88="","",INDEX(I_TO,L88))</f>
        <v/>
      </c>
      <c r="H88" s="46" t="str">
        <f>IF(C88="","",INDEX(I_Brut,L88))</f>
        <v/>
      </c>
      <c r="I88" s="41" t="str">
        <f>IF(C88="","",IF(H88&gt;0,D88*1000/H88,""))</f>
        <v/>
      </c>
      <c r="J88" s="58" t="str">
        <f>IF(C88="","",INDEX(M_FE,L88))</f>
        <v/>
      </c>
      <c r="K88" s="2" t="str">
        <f>IF(C88="","",INDEX(M_Src,L88))</f>
        <v/>
      </c>
      <c r="L88" s="59">
        <f>MATCH(LARGE(I_Key,49),I_Key,0)</f>
        <v>49</v>
      </c>
    </row>
    <row r="89">
      <c r="B89" s="56" t="str">
        <f>IF(C89="","",50)</f>
        <v/>
      </c>
      <c r="C89" s="7" t="str">
        <f>IF(INDEX(I_CO2,L89)&gt;0,INDEX(I_Nom,L89),"")</f>
        <v/>
      </c>
      <c r="D89" s="43" t="str">
        <f>IF(C89="","",INDEX(I_CO2,L89))</f>
        <v/>
      </c>
      <c r="E89" s="57" t="str">
        <f>IF(C89="","",D89/S_YTD)</f>
        <v/>
      </c>
      <c r="F89" s="44" t="str">
        <f>IF(C89="","",INDEX(I_kWh,L89))</f>
        <v/>
      </c>
      <c r="G89" s="45" t="str">
        <f>IF(C89="","",INDEX(I_TO,L89))</f>
        <v/>
      </c>
      <c r="H89" s="46" t="str">
        <f>IF(C89="","",INDEX(I_Brut,L89))</f>
        <v/>
      </c>
      <c r="I89" s="41" t="str">
        <f>IF(C89="","",IF(H89&gt;0,D89*1000/H89,""))</f>
        <v/>
      </c>
      <c r="J89" s="58" t="str">
        <f>IF(C89="","",INDEX(M_FE,L89))</f>
        <v/>
      </c>
      <c r="K89" s="2" t="str">
        <f>IF(C89="","",INDEX(M_Src,L89))</f>
        <v/>
      </c>
      <c r="L89" s="59">
        <f>MATCH(LARGE(I_Key,50),I_Key,0)</f>
        <v>50</v>
      </c>
    </row>
    <row r="90">
      <c r="B90" s="56" t="str">
        <f>IF(C90="","",51)</f>
        <v/>
      </c>
      <c r="C90" s="7" t="str">
        <f>IF(INDEX(I_CO2,L90)&gt;0,INDEX(I_Nom,L90),"")</f>
        <v/>
      </c>
      <c r="D90" s="43" t="str">
        <f>IF(C90="","",INDEX(I_CO2,L90))</f>
        <v/>
      </c>
      <c r="E90" s="57" t="str">
        <f>IF(C90="","",D90/S_YTD)</f>
        <v/>
      </c>
      <c r="F90" s="44" t="str">
        <f>IF(C90="","",INDEX(I_kWh,L90))</f>
        <v/>
      </c>
      <c r="G90" s="45" t="str">
        <f>IF(C90="","",INDEX(I_TO,L90))</f>
        <v/>
      </c>
      <c r="H90" s="46" t="str">
        <f>IF(C90="","",INDEX(I_Brut,L90))</f>
        <v/>
      </c>
      <c r="I90" s="41" t="str">
        <f>IF(C90="","",IF(H90&gt;0,D90*1000/H90,""))</f>
        <v/>
      </c>
      <c r="J90" s="58" t="str">
        <f>IF(C90="","",INDEX(M_FE,L90))</f>
        <v/>
      </c>
      <c r="K90" s="2" t="str">
        <f>IF(C90="","",INDEX(M_Src,L90))</f>
        <v/>
      </c>
      <c r="L90" s="59">
        <f>MATCH(LARGE(I_Key,51),I_Key,0)</f>
        <v>51</v>
      </c>
    </row>
    <row r="91">
      <c r="B91" s="56" t="str">
        <f>IF(C91="","",52)</f>
        <v/>
      </c>
      <c r="C91" s="7" t="str">
        <f>IF(INDEX(I_CO2,L91)&gt;0,INDEX(I_Nom,L91),"")</f>
        <v/>
      </c>
      <c r="D91" s="43" t="str">
        <f>IF(C91="","",INDEX(I_CO2,L91))</f>
        <v/>
      </c>
      <c r="E91" s="57" t="str">
        <f>IF(C91="","",D91/S_YTD)</f>
        <v/>
      </c>
      <c r="F91" s="44" t="str">
        <f>IF(C91="","",INDEX(I_kWh,L91))</f>
        <v/>
      </c>
      <c r="G91" s="45" t="str">
        <f>IF(C91="","",INDEX(I_TO,L91))</f>
        <v/>
      </c>
      <c r="H91" s="46" t="str">
        <f>IF(C91="","",INDEX(I_Brut,L91))</f>
        <v/>
      </c>
      <c r="I91" s="41" t="str">
        <f>IF(C91="","",IF(H91&gt;0,D91*1000/H91,""))</f>
        <v/>
      </c>
      <c r="J91" s="58" t="str">
        <f>IF(C91="","",INDEX(M_FE,L91))</f>
        <v/>
      </c>
      <c r="K91" s="2" t="str">
        <f>IF(C91="","",INDEX(M_Src,L91))</f>
        <v/>
      </c>
      <c r="L91" s="59">
        <f>MATCH(LARGE(I_Key,52),I_Key,0)</f>
        <v>52</v>
      </c>
    </row>
    <row r="92">
      <c r="B92" s="56" t="str">
        <f>IF(C92="","",53)</f>
        <v/>
      </c>
      <c r="C92" s="7" t="str">
        <f>IF(INDEX(I_CO2,L92)&gt;0,INDEX(I_Nom,L92),"")</f>
        <v/>
      </c>
      <c r="D92" s="43" t="str">
        <f>IF(C92="","",INDEX(I_CO2,L92))</f>
        <v/>
      </c>
      <c r="E92" s="57" t="str">
        <f>IF(C92="","",D92/S_YTD)</f>
        <v/>
      </c>
      <c r="F92" s="44" t="str">
        <f>IF(C92="","",INDEX(I_kWh,L92))</f>
        <v/>
      </c>
      <c r="G92" s="45" t="str">
        <f>IF(C92="","",INDEX(I_TO,L92))</f>
        <v/>
      </c>
      <c r="H92" s="46" t="str">
        <f>IF(C92="","",INDEX(I_Brut,L92))</f>
        <v/>
      </c>
      <c r="I92" s="41" t="str">
        <f>IF(C92="","",IF(H92&gt;0,D92*1000/H92,""))</f>
        <v/>
      </c>
      <c r="J92" s="58" t="str">
        <f>IF(C92="","",INDEX(M_FE,L92))</f>
        <v/>
      </c>
      <c r="K92" s="2" t="str">
        <f>IF(C92="","",INDEX(M_Src,L92))</f>
        <v/>
      </c>
      <c r="L92" s="59">
        <f>MATCH(LARGE(I_Key,53),I_Key,0)</f>
        <v>53</v>
      </c>
    </row>
    <row r="93">
      <c r="B93" s="56" t="str">
        <f>IF(C93="","",54)</f>
        <v/>
      </c>
      <c r="C93" s="7" t="str">
        <f>IF(INDEX(I_CO2,L93)&gt;0,INDEX(I_Nom,L93),"")</f>
        <v/>
      </c>
      <c r="D93" s="43" t="str">
        <f>IF(C93="","",INDEX(I_CO2,L93))</f>
        <v/>
      </c>
      <c r="E93" s="57" t="str">
        <f>IF(C93="","",D93/S_YTD)</f>
        <v/>
      </c>
      <c r="F93" s="44" t="str">
        <f>IF(C93="","",INDEX(I_kWh,L93))</f>
        <v/>
      </c>
      <c r="G93" s="45" t="str">
        <f>IF(C93="","",INDEX(I_TO,L93))</f>
        <v/>
      </c>
      <c r="H93" s="46" t="str">
        <f>IF(C93="","",INDEX(I_Brut,L93))</f>
        <v/>
      </c>
      <c r="I93" s="41" t="str">
        <f>IF(C93="","",IF(H93&gt;0,D93*1000/H93,""))</f>
        <v/>
      </c>
      <c r="J93" s="58" t="str">
        <f>IF(C93="","",INDEX(M_FE,L93))</f>
        <v/>
      </c>
      <c r="K93" s="2" t="str">
        <f>IF(C93="","",INDEX(M_Src,L93))</f>
        <v/>
      </c>
      <c r="L93" s="59">
        <f>MATCH(LARGE(I_Key,54),I_Key,0)</f>
        <v>54</v>
      </c>
    </row>
    <row r="94">
      <c r="B94" s="56" t="str">
        <f>IF(C94="","",55)</f>
        <v/>
      </c>
      <c r="C94" s="7" t="str">
        <f>IF(INDEX(I_CO2,L94)&gt;0,INDEX(I_Nom,L94),"")</f>
        <v/>
      </c>
      <c r="D94" s="43" t="str">
        <f>IF(C94="","",INDEX(I_CO2,L94))</f>
        <v/>
      </c>
      <c r="E94" s="57" t="str">
        <f>IF(C94="","",D94/S_YTD)</f>
        <v/>
      </c>
      <c r="F94" s="44" t="str">
        <f>IF(C94="","",INDEX(I_kWh,L94))</f>
        <v/>
      </c>
      <c r="G94" s="45" t="str">
        <f>IF(C94="","",INDEX(I_TO,L94))</f>
        <v/>
      </c>
      <c r="H94" s="46" t="str">
        <f>IF(C94="","",INDEX(I_Brut,L94))</f>
        <v/>
      </c>
      <c r="I94" s="41" t="str">
        <f>IF(C94="","",IF(H94&gt;0,D94*1000/H94,""))</f>
        <v/>
      </c>
      <c r="J94" s="58" t="str">
        <f>IF(C94="","",INDEX(M_FE,L94))</f>
        <v/>
      </c>
      <c r="K94" s="2" t="str">
        <f>IF(C94="","",INDEX(M_Src,L94))</f>
        <v/>
      </c>
      <c r="L94" s="59">
        <f>MATCH(LARGE(I_Key,55),I_Key,0)</f>
        <v>55</v>
      </c>
    </row>
    <row r="95">
      <c r="B95" s="56" t="str">
        <f>IF(C95="","",56)</f>
        <v/>
      </c>
      <c r="C95" s="7" t="str">
        <f>IF(INDEX(I_CO2,L95)&gt;0,INDEX(I_Nom,L95),"")</f>
        <v/>
      </c>
      <c r="D95" s="43" t="str">
        <f>IF(C95="","",INDEX(I_CO2,L95))</f>
        <v/>
      </c>
      <c r="E95" s="57" t="str">
        <f>IF(C95="","",D95/S_YTD)</f>
        <v/>
      </c>
      <c r="F95" s="44" t="str">
        <f>IF(C95="","",INDEX(I_kWh,L95))</f>
        <v/>
      </c>
      <c r="G95" s="45" t="str">
        <f>IF(C95="","",INDEX(I_TO,L95))</f>
        <v/>
      </c>
      <c r="H95" s="46" t="str">
        <f>IF(C95="","",INDEX(I_Brut,L95))</f>
        <v/>
      </c>
      <c r="I95" s="41" t="str">
        <f>IF(C95="","",IF(H95&gt;0,D95*1000/H95,""))</f>
        <v/>
      </c>
      <c r="J95" s="58" t="str">
        <f>IF(C95="","",INDEX(M_FE,L95))</f>
        <v/>
      </c>
      <c r="K95" s="2" t="str">
        <f>IF(C95="","",INDEX(M_Src,L95))</f>
        <v/>
      </c>
      <c r="L95" s="59">
        <f>MATCH(LARGE(I_Key,56),I_Key,0)</f>
        <v>56</v>
      </c>
    </row>
    <row r="96">
      <c r="B96" s="56" t="str">
        <f>IF(C96="","",57)</f>
        <v/>
      </c>
      <c r="C96" s="7" t="str">
        <f>IF(INDEX(I_CO2,L96)&gt;0,INDEX(I_Nom,L96),"")</f>
        <v/>
      </c>
      <c r="D96" s="43" t="str">
        <f>IF(C96="","",INDEX(I_CO2,L96))</f>
        <v/>
      </c>
      <c r="E96" s="57" t="str">
        <f>IF(C96="","",D96/S_YTD)</f>
        <v/>
      </c>
      <c r="F96" s="44" t="str">
        <f>IF(C96="","",INDEX(I_kWh,L96))</f>
        <v/>
      </c>
      <c r="G96" s="45" t="str">
        <f>IF(C96="","",INDEX(I_TO,L96))</f>
        <v/>
      </c>
      <c r="H96" s="46" t="str">
        <f>IF(C96="","",INDEX(I_Brut,L96))</f>
        <v/>
      </c>
      <c r="I96" s="41" t="str">
        <f>IF(C96="","",IF(H96&gt;0,D96*1000/H96,""))</f>
        <v/>
      </c>
      <c r="J96" s="58" t="str">
        <f>IF(C96="","",INDEX(M_FE,L96))</f>
        <v/>
      </c>
      <c r="K96" s="2" t="str">
        <f>IF(C96="","",INDEX(M_Src,L96))</f>
        <v/>
      </c>
      <c r="L96" s="59">
        <f>MATCH(LARGE(I_Key,57),I_Key,0)</f>
        <v>57</v>
      </c>
    </row>
    <row r="97">
      <c r="B97" s="56" t="str">
        <f>IF(C97="","",58)</f>
        <v/>
      </c>
      <c r="C97" s="7" t="str">
        <f>IF(INDEX(I_CO2,L97)&gt;0,INDEX(I_Nom,L97),"")</f>
        <v/>
      </c>
      <c r="D97" s="43" t="str">
        <f>IF(C97="","",INDEX(I_CO2,L97))</f>
        <v/>
      </c>
      <c r="E97" s="57" t="str">
        <f>IF(C97="","",D97/S_YTD)</f>
        <v/>
      </c>
      <c r="F97" s="44" t="str">
        <f>IF(C97="","",INDEX(I_kWh,L97))</f>
        <v/>
      </c>
      <c r="G97" s="45" t="str">
        <f>IF(C97="","",INDEX(I_TO,L97))</f>
        <v/>
      </c>
      <c r="H97" s="46" t="str">
        <f>IF(C97="","",INDEX(I_Brut,L97))</f>
        <v/>
      </c>
      <c r="I97" s="41" t="str">
        <f>IF(C97="","",IF(H97&gt;0,D97*1000/H97,""))</f>
        <v/>
      </c>
      <c r="J97" s="58" t="str">
        <f>IF(C97="","",INDEX(M_FE,L97))</f>
        <v/>
      </c>
      <c r="K97" s="2" t="str">
        <f>IF(C97="","",INDEX(M_Src,L97))</f>
        <v/>
      </c>
      <c r="L97" s="59">
        <f>MATCH(LARGE(I_Key,58),I_Key,0)</f>
        <v>58</v>
      </c>
    </row>
    <row r="98">
      <c r="B98" s="56" t="str">
        <f>IF(C98="","",59)</f>
        <v/>
      </c>
      <c r="C98" s="7" t="str">
        <f>IF(INDEX(I_CO2,L98)&gt;0,INDEX(I_Nom,L98),"")</f>
        <v/>
      </c>
      <c r="D98" s="43" t="str">
        <f>IF(C98="","",INDEX(I_CO2,L98))</f>
        <v/>
      </c>
      <c r="E98" s="57" t="str">
        <f>IF(C98="","",D98/S_YTD)</f>
        <v/>
      </c>
      <c r="F98" s="44" t="str">
        <f>IF(C98="","",INDEX(I_kWh,L98))</f>
        <v/>
      </c>
      <c r="G98" s="45" t="str">
        <f>IF(C98="","",INDEX(I_TO,L98))</f>
        <v/>
      </c>
      <c r="H98" s="46" t="str">
        <f>IF(C98="","",INDEX(I_Brut,L98))</f>
        <v/>
      </c>
      <c r="I98" s="41" t="str">
        <f>IF(C98="","",IF(H98&gt;0,D98*1000/H98,""))</f>
        <v/>
      </c>
      <c r="J98" s="58" t="str">
        <f>IF(C98="","",INDEX(M_FE,L98))</f>
        <v/>
      </c>
      <c r="K98" s="2" t="str">
        <f>IF(C98="","",INDEX(M_Src,L98))</f>
        <v/>
      </c>
      <c r="L98" s="59">
        <f>MATCH(LARGE(I_Key,59),I_Key,0)</f>
        <v>59</v>
      </c>
    </row>
    <row r="99">
      <c r="B99" s="56" t="str">
        <f>IF(C99="","",60)</f>
        <v/>
      </c>
      <c r="C99" s="7" t="str">
        <f>IF(INDEX(I_CO2,L99)&gt;0,INDEX(I_Nom,L99),"")</f>
        <v/>
      </c>
      <c r="D99" s="43" t="str">
        <f>IF(C99="","",INDEX(I_CO2,L99))</f>
        <v/>
      </c>
      <c r="E99" s="57" t="str">
        <f>IF(C99="","",D99/S_YTD)</f>
        <v/>
      </c>
      <c r="F99" s="44" t="str">
        <f>IF(C99="","",INDEX(I_kWh,L99))</f>
        <v/>
      </c>
      <c r="G99" s="45" t="str">
        <f>IF(C99="","",INDEX(I_TO,L99))</f>
        <v/>
      </c>
      <c r="H99" s="46" t="str">
        <f>IF(C99="","",INDEX(I_Brut,L99))</f>
        <v/>
      </c>
      <c r="I99" s="41" t="str">
        <f>IF(C99="","",IF(H99&gt;0,D99*1000/H99,""))</f>
        <v/>
      </c>
      <c r="J99" s="58" t="str">
        <f>IF(C99="","",INDEX(M_FE,L99))</f>
        <v/>
      </c>
      <c r="K99" s="2" t="str">
        <f>IF(C99="","",INDEX(M_Src,L99))</f>
        <v/>
      </c>
      <c r="L99" s="59">
        <f>MATCH(LARGE(I_Key,60),I_Key,0)</f>
        <v>60</v>
      </c>
    </row>
    <row r="100">
      <c r="B100" s="56" t="str">
        <f>IF(C100="","",61)</f>
        <v/>
      </c>
      <c r="C100" s="7" t="str">
        <f>IF(INDEX(I_CO2,L100)&gt;0,INDEX(I_Nom,L100),"")</f>
        <v/>
      </c>
      <c r="D100" s="43" t="str">
        <f>IF(C100="","",INDEX(I_CO2,L100))</f>
        <v/>
      </c>
      <c r="E100" s="57" t="str">
        <f>IF(C100="","",D100/S_YTD)</f>
        <v/>
      </c>
      <c r="F100" s="44" t="str">
        <f>IF(C100="","",INDEX(I_kWh,L100))</f>
        <v/>
      </c>
      <c r="G100" s="45" t="str">
        <f>IF(C100="","",INDEX(I_TO,L100))</f>
        <v/>
      </c>
      <c r="H100" s="46" t="str">
        <f>IF(C100="","",INDEX(I_Brut,L100))</f>
        <v/>
      </c>
      <c r="I100" s="41" t="str">
        <f>IF(C100="","",IF(H100&gt;0,D100*1000/H100,""))</f>
        <v/>
      </c>
      <c r="J100" s="58" t="str">
        <f>IF(C100="","",INDEX(M_FE,L100))</f>
        <v/>
      </c>
      <c r="K100" s="2" t="str">
        <f>IF(C100="","",INDEX(M_Src,L100))</f>
        <v/>
      </c>
      <c r="L100" s="59">
        <f>MATCH(LARGE(I_Key,61),I_Key,0)</f>
        <v>61</v>
      </c>
    </row>
    <row r="101">
      <c r="B101" s="56" t="str">
        <f>IF(C101="","",62)</f>
        <v/>
      </c>
      <c r="C101" s="7" t="str">
        <f>IF(INDEX(I_CO2,L101)&gt;0,INDEX(I_Nom,L101),"")</f>
        <v/>
      </c>
      <c r="D101" s="43" t="str">
        <f>IF(C101="","",INDEX(I_CO2,L101))</f>
        <v/>
      </c>
      <c r="E101" s="57" t="str">
        <f>IF(C101="","",D101/S_YTD)</f>
        <v/>
      </c>
      <c r="F101" s="44" t="str">
        <f>IF(C101="","",INDEX(I_kWh,L101))</f>
        <v/>
      </c>
      <c r="G101" s="45" t="str">
        <f>IF(C101="","",INDEX(I_TO,L101))</f>
        <v/>
      </c>
      <c r="H101" s="46" t="str">
        <f>IF(C101="","",INDEX(I_Brut,L101))</f>
        <v/>
      </c>
      <c r="I101" s="41" t="str">
        <f>IF(C101="","",IF(H101&gt;0,D101*1000/H101,""))</f>
        <v/>
      </c>
      <c r="J101" s="58" t="str">
        <f>IF(C101="","",INDEX(M_FE,L101))</f>
        <v/>
      </c>
      <c r="K101" s="2" t="str">
        <f>IF(C101="","",INDEX(M_Src,L101))</f>
        <v/>
      </c>
      <c r="L101" s="59">
        <f>MATCH(LARGE(I_Key,62),I_Key,0)</f>
        <v>62</v>
      </c>
    </row>
    <row r="102">
      <c r="B102" s="56" t="str">
        <f>IF(C102="","",63)</f>
        <v/>
      </c>
      <c r="C102" s="7" t="str">
        <f>IF(INDEX(I_CO2,L102)&gt;0,INDEX(I_Nom,L102),"")</f>
        <v/>
      </c>
      <c r="D102" s="43" t="str">
        <f>IF(C102="","",INDEX(I_CO2,L102))</f>
        <v/>
      </c>
      <c r="E102" s="57" t="str">
        <f>IF(C102="","",D102/S_YTD)</f>
        <v/>
      </c>
      <c r="F102" s="44" t="str">
        <f>IF(C102="","",INDEX(I_kWh,L102))</f>
        <v/>
      </c>
      <c r="G102" s="45" t="str">
        <f>IF(C102="","",INDEX(I_TO,L102))</f>
        <v/>
      </c>
      <c r="H102" s="46" t="str">
        <f>IF(C102="","",INDEX(I_Brut,L102))</f>
        <v/>
      </c>
      <c r="I102" s="41" t="str">
        <f>IF(C102="","",IF(H102&gt;0,D102*1000/H102,""))</f>
        <v/>
      </c>
      <c r="J102" s="58" t="str">
        <f>IF(C102="","",INDEX(M_FE,L102))</f>
        <v/>
      </c>
      <c r="K102" s="2" t="str">
        <f>IF(C102="","",INDEX(M_Src,L102))</f>
        <v/>
      </c>
      <c r="L102" s="59">
        <f>MATCH(LARGE(I_Key,63),I_Key,0)</f>
        <v>63</v>
      </c>
    </row>
    <row r="103">
      <c r="B103" s="56" t="str">
        <f>IF(C103="","",64)</f>
        <v/>
      </c>
      <c r="C103" s="7" t="str">
        <f>IF(INDEX(I_CO2,L103)&gt;0,INDEX(I_Nom,L103),"")</f>
        <v/>
      </c>
      <c r="D103" s="43" t="str">
        <f>IF(C103="","",INDEX(I_CO2,L103))</f>
        <v/>
      </c>
      <c r="E103" s="57" t="str">
        <f>IF(C103="","",D103/S_YTD)</f>
        <v/>
      </c>
      <c r="F103" s="44" t="str">
        <f>IF(C103="","",INDEX(I_kWh,L103))</f>
        <v/>
      </c>
      <c r="G103" s="45" t="str">
        <f>IF(C103="","",INDEX(I_TO,L103))</f>
        <v/>
      </c>
      <c r="H103" s="46" t="str">
        <f>IF(C103="","",INDEX(I_Brut,L103))</f>
        <v/>
      </c>
      <c r="I103" s="41" t="str">
        <f>IF(C103="","",IF(H103&gt;0,D103*1000/H103,""))</f>
        <v/>
      </c>
      <c r="J103" s="58" t="str">
        <f>IF(C103="","",INDEX(M_FE,L103))</f>
        <v/>
      </c>
      <c r="K103" s="2" t="str">
        <f>IF(C103="","",INDEX(M_Src,L103))</f>
        <v/>
      </c>
      <c r="L103" s="59">
        <f>MATCH(LARGE(I_Key,64),I_Key,0)</f>
        <v>64</v>
      </c>
    </row>
    <row r="104">
      <c r="B104" s="56" t="str">
        <f>IF(C104="","",65)</f>
        <v/>
      </c>
      <c r="C104" s="7" t="str">
        <f>IF(INDEX(I_CO2,L104)&gt;0,INDEX(I_Nom,L104),"")</f>
        <v/>
      </c>
      <c r="D104" s="43" t="str">
        <f>IF(C104="","",INDEX(I_CO2,L104))</f>
        <v/>
      </c>
      <c r="E104" s="57" t="str">
        <f>IF(C104="","",D104/S_YTD)</f>
        <v/>
      </c>
      <c r="F104" s="44" t="str">
        <f>IF(C104="","",INDEX(I_kWh,L104))</f>
        <v/>
      </c>
      <c r="G104" s="45" t="str">
        <f>IF(C104="","",INDEX(I_TO,L104))</f>
        <v/>
      </c>
      <c r="H104" s="46" t="str">
        <f>IF(C104="","",INDEX(I_Brut,L104))</f>
        <v/>
      </c>
      <c r="I104" s="41" t="str">
        <f>IF(C104="","",IF(H104&gt;0,D104*1000/H104,""))</f>
        <v/>
      </c>
      <c r="J104" s="58" t="str">
        <f>IF(C104="","",INDEX(M_FE,L104))</f>
        <v/>
      </c>
      <c r="K104" s="2" t="str">
        <f>IF(C104="","",INDEX(M_Src,L104))</f>
        <v/>
      </c>
      <c r="L104" s="59">
        <f>MATCH(LARGE(I_Key,65),I_Key,0)</f>
        <v>65</v>
      </c>
    </row>
    <row r="105">
      <c r="B105" s="56" t="str">
        <f>IF(C105="","",66)</f>
        <v/>
      </c>
      <c r="C105" s="7" t="str">
        <f>IF(INDEX(I_CO2,L105)&gt;0,INDEX(I_Nom,L105),"")</f>
        <v/>
      </c>
      <c r="D105" s="43" t="str">
        <f>IF(C105="","",INDEX(I_CO2,L105))</f>
        <v/>
      </c>
      <c r="E105" s="57" t="str">
        <f>IF(C105="","",D105/S_YTD)</f>
        <v/>
      </c>
      <c r="F105" s="44" t="str">
        <f>IF(C105="","",INDEX(I_kWh,L105))</f>
        <v/>
      </c>
      <c r="G105" s="45" t="str">
        <f>IF(C105="","",INDEX(I_TO,L105))</f>
        <v/>
      </c>
      <c r="H105" s="46" t="str">
        <f>IF(C105="","",INDEX(I_Brut,L105))</f>
        <v/>
      </c>
      <c r="I105" s="41" t="str">
        <f>IF(C105="","",IF(H105&gt;0,D105*1000/H105,""))</f>
        <v/>
      </c>
      <c r="J105" s="58" t="str">
        <f>IF(C105="","",INDEX(M_FE,L105))</f>
        <v/>
      </c>
      <c r="K105" s="2" t="str">
        <f>IF(C105="","",INDEX(M_Src,L105))</f>
        <v/>
      </c>
      <c r="L105" s="59">
        <f>MATCH(LARGE(I_Key,66),I_Key,0)</f>
        <v>66</v>
      </c>
    </row>
    <row r="106">
      <c r="B106" s="56" t="str">
        <f>IF(C106="","",67)</f>
        <v/>
      </c>
      <c r="C106" s="7" t="str">
        <f>IF(INDEX(I_CO2,L106)&gt;0,INDEX(I_Nom,L106),"")</f>
        <v/>
      </c>
      <c r="D106" s="43" t="str">
        <f>IF(C106="","",INDEX(I_CO2,L106))</f>
        <v/>
      </c>
      <c r="E106" s="57" t="str">
        <f>IF(C106="","",D106/S_YTD)</f>
        <v/>
      </c>
      <c r="F106" s="44" t="str">
        <f>IF(C106="","",INDEX(I_kWh,L106))</f>
        <v/>
      </c>
      <c r="G106" s="45" t="str">
        <f>IF(C106="","",INDEX(I_TO,L106))</f>
        <v/>
      </c>
      <c r="H106" s="46" t="str">
        <f>IF(C106="","",INDEX(I_Brut,L106))</f>
        <v/>
      </c>
      <c r="I106" s="41" t="str">
        <f>IF(C106="","",IF(H106&gt;0,D106*1000/H106,""))</f>
        <v/>
      </c>
      <c r="J106" s="58" t="str">
        <f>IF(C106="","",INDEX(M_FE,L106))</f>
        <v/>
      </c>
      <c r="K106" s="2" t="str">
        <f>IF(C106="","",INDEX(M_Src,L106))</f>
        <v/>
      </c>
      <c r="L106" s="59">
        <f>MATCH(LARGE(I_Key,67),I_Key,0)</f>
        <v>67</v>
      </c>
    </row>
    <row r="107">
      <c r="B107" s="56" t="str">
        <f>IF(C107="","",68)</f>
        <v/>
      </c>
      <c r="C107" s="7" t="str">
        <f>IF(INDEX(I_CO2,L107)&gt;0,INDEX(I_Nom,L107),"")</f>
        <v/>
      </c>
      <c r="D107" s="43" t="str">
        <f>IF(C107="","",INDEX(I_CO2,L107))</f>
        <v/>
      </c>
      <c r="E107" s="57" t="str">
        <f>IF(C107="","",D107/S_YTD)</f>
        <v/>
      </c>
      <c r="F107" s="44" t="str">
        <f>IF(C107="","",INDEX(I_kWh,L107))</f>
        <v/>
      </c>
      <c r="G107" s="45" t="str">
        <f>IF(C107="","",INDEX(I_TO,L107))</f>
        <v/>
      </c>
      <c r="H107" s="46" t="str">
        <f>IF(C107="","",INDEX(I_Brut,L107))</f>
        <v/>
      </c>
      <c r="I107" s="41" t="str">
        <f>IF(C107="","",IF(H107&gt;0,D107*1000/H107,""))</f>
        <v/>
      </c>
      <c r="J107" s="58" t="str">
        <f>IF(C107="","",INDEX(M_FE,L107))</f>
        <v/>
      </c>
      <c r="K107" s="2" t="str">
        <f>IF(C107="","",INDEX(M_Src,L107))</f>
        <v/>
      </c>
      <c r="L107" s="59">
        <f>MATCH(LARGE(I_Key,68),I_Key,0)</f>
        <v>68</v>
      </c>
    </row>
    <row r="108">
      <c r="B108" s="56" t="str">
        <f>IF(C108="","",69)</f>
        <v/>
      </c>
      <c r="C108" s="7" t="str">
        <f>IF(INDEX(I_CO2,L108)&gt;0,INDEX(I_Nom,L108),"")</f>
        <v/>
      </c>
      <c r="D108" s="43" t="str">
        <f>IF(C108="","",INDEX(I_CO2,L108))</f>
        <v/>
      </c>
      <c r="E108" s="57" t="str">
        <f>IF(C108="","",D108/S_YTD)</f>
        <v/>
      </c>
      <c r="F108" s="44" t="str">
        <f>IF(C108="","",INDEX(I_kWh,L108))</f>
        <v/>
      </c>
      <c r="G108" s="45" t="str">
        <f>IF(C108="","",INDEX(I_TO,L108))</f>
        <v/>
      </c>
      <c r="H108" s="46" t="str">
        <f>IF(C108="","",INDEX(I_Brut,L108))</f>
        <v/>
      </c>
      <c r="I108" s="41" t="str">
        <f>IF(C108="","",IF(H108&gt;0,D108*1000/H108,""))</f>
        <v/>
      </c>
      <c r="J108" s="58" t="str">
        <f>IF(C108="","",INDEX(M_FE,L108))</f>
        <v/>
      </c>
      <c r="K108" s="2" t="str">
        <f>IF(C108="","",INDEX(M_Src,L108))</f>
        <v/>
      </c>
      <c r="L108" s="59">
        <f>MATCH(LARGE(I_Key,69),I_Key,0)</f>
        <v>69</v>
      </c>
    </row>
    <row r="109">
      <c r="B109" s="56" t="str">
        <f>IF(C109="","",70)</f>
        <v/>
      </c>
      <c r="C109" s="7" t="str">
        <f>IF(INDEX(I_CO2,L109)&gt;0,INDEX(I_Nom,L109),"")</f>
        <v/>
      </c>
      <c r="D109" s="43" t="str">
        <f>IF(C109="","",INDEX(I_CO2,L109))</f>
        <v/>
      </c>
      <c r="E109" s="57" t="str">
        <f>IF(C109="","",D109/S_YTD)</f>
        <v/>
      </c>
      <c r="F109" s="44" t="str">
        <f>IF(C109="","",INDEX(I_kWh,L109))</f>
        <v/>
      </c>
      <c r="G109" s="45" t="str">
        <f>IF(C109="","",INDEX(I_TO,L109))</f>
        <v/>
      </c>
      <c r="H109" s="46" t="str">
        <f>IF(C109="","",INDEX(I_Brut,L109))</f>
        <v/>
      </c>
      <c r="I109" s="41" t="str">
        <f>IF(C109="","",IF(H109&gt;0,D109*1000/H109,""))</f>
        <v/>
      </c>
      <c r="J109" s="58" t="str">
        <f>IF(C109="","",INDEX(M_FE,L109))</f>
        <v/>
      </c>
      <c r="K109" s="2" t="str">
        <f>IF(C109="","",INDEX(M_Src,L109))</f>
        <v/>
      </c>
      <c r="L109" s="59">
        <f>MATCH(LARGE(I_Key,70),I_Key,0)</f>
        <v>70</v>
      </c>
    </row>
    <row r="110">
      <c r="B110" s="56" t="str">
        <f>IF(C110="","",71)</f>
        <v/>
      </c>
      <c r="C110" s="7" t="str">
        <f>IF(INDEX(I_CO2,L110)&gt;0,INDEX(I_Nom,L110),"")</f>
        <v/>
      </c>
      <c r="D110" s="43" t="str">
        <f>IF(C110="","",INDEX(I_CO2,L110))</f>
        <v/>
      </c>
      <c r="E110" s="57" t="str">
        <f>IF(C110="","",D110/S_YTD)</f>
        <v/>
      </c>
      <c r="F110" s="44" t="str">
        <f>IF(C110="","",INDEX(I_kWh,L110))</f>
        <v/>
      </c>
      <c r="G110" s="45" t="str">
        <f>IF(C110="","",INDEX(I_TO,L110))</f>
        <v/>
      </c>
      <c r="H110" s="46" t="str">
        <f>IF(C110="","",INDEX(I_Brut,L110))</f>
        <v/>
      </c>
      <c r="I110" s="41" t="str">
        <f>IF(C110="","",IF(H110&gt;0,D110*1000/H110,""))</f>
        <v/>
      </c>
      <c r="J110" s="58" t="str">
        <f>IF(C110="","",INDEX(M_FE,L110))</f>
        <v/>
      </c>
      <c r="K110" s="2" t="str">
        <f>IF(C110="","",INDEX(M_Src,L110))</f>
        <v/>
      </c>
      <c r="L110" s="59">
        <f>MATCH(LARGE(I_Key,71),I_Key,0)</f>
        <v>71</v>
      </c>
    </row>
    <row r="111">
      <c r="B111" s="56" t="str">
        <f>IF(C111="","",72)</f>
        <v/>
      </c>
      <c r="C111" s="7" t="str">
        <f>IF(INDEX(I_CO2,L111)&gt;0,INDEX(I_Nom,L111),"")</f>
        <v/>
      </c>
      <c r="D111" s="43" t="str">
        <f>IF(C111="","",INDEX(I_CO2,L111))</f>
        <v/>
      </c>
      <c r="E111" s="57" t="str">
        <f>IF(C111="","",D111/S_YTD)</f>
        <v/>
      </c>
      <c r="F111" s="44" t="str">
        <f>IF(C111="","",INDEX(I_kWh,L111))</f>
        <v/>
      </c>
      <c r="G111" s="45" t="str">
        <f>IF(C111="","",INDEX(I_TO,L111))</f>
        <v/>
      </c>
      <c r="H111" s="46" t="str">
        <f>IF(C111="","",INDEX(I_Brut,L111))</f>
        <v/>
      </c>
      <c r="I111" s="41" t="str">
        <f>IF(C111="","",IF(H111&gt;0,D111*1000/H111,""))</f>
        <v/>
      </c>
      <c r="J111" s="58" t="str">
        <f>IF(C111="","",INDEX(M_FE,L111))</f>
        <v/>
      </c>
      <c r="K111" s="2" t="str">
        <f>IF(C111="","",INDEX(M_Src,L111))</f>
        <v/>
      </c>
      <c r="L111" s="59">
        <f>MATCH(LARGE(I_Key,72),I_Key,0)</f>
        <v>72</v>
      </c>
    </row>
    <row r="112">
      <c r="B112" s="56" t="str">
        <f>IF(C112="","",73)</f>
        <v/>
      </c>
      <c r="C112" s="7" t="str">
        <f>IF(INDEX(I_CO2,L112)&gt;0,INDEX(I_Nom,L112),"")</f>
        <v/>
      </c>
      <c r="D112" s="43" t="str">
        <f>IF(C112="","",INDEX(I_CO2,L112))</f>
        <v/>
      </c>
      <c r="E112" s="57" t="str">
        <f>IF(C112="","",D112/S_YTD)</f>
        <v/>
      </c>
      <c r="F112" s="44" t="str">
        <f>IF(C112="","",INDEX(I_kWh,L112))</f>
        <v/>
      </c>
      <c r="G112" s="45" t="str">
        <f>IF(C112="","",INDEX(I_TO,L112))</f>
        <v/>
      </c>
      <c r="H112" s="46" t="str">
        <f>IF(C112="","",INDEX(I_Brut,L112))</f>
        <v/>
      </c>
      <c r="I112" s="41" t="str">
        <f>IF(C112="","",IF(H112&gt;0,D112*1000/H112,""))</f>
        <v/>
      </c>
      <c r="J112" s="58" t="str">
        <f>IF(C112="","",INDEX(M_FE,L112))</f>
        <v/>
      </c>
      <c r="K112" s="2" t="str">
        <f>IF(C112="","",INDEX(M_Src,L112))</f>
        <v/>
      </c>
      <c r="L112" s="59">
        <f>MATCH(LARGE(I_Key,73),I_Key,0)</f>
        <v>73</v>
      </c>
    </row>
    <row r="113">
      <c r="B113" s="56" t="str">
        <f>IF(C113="","",74)</f>
        <v/>
      </c>
      <c r="C113" s="7" t="str">
        <f>IF(INDEX(I_CO2,L113)&gt;0,INDEX(I_Nom,L113),"")</f>
        <v/>
      </c>
      <c r="D113" s="43" t="str">
        <f>IF(C113="","",INDEX(I_CO2,L113))</f>
        <v/>
      </c>
      <c r="E113" s="57" t="str">
        <f>IF(C113="","",D113/S_YTD)</f>
        <v/>
      </c>
      <c r="F113" s="44" t="str">
        <f>IF(C113="","",INDEX(I_kWh,L113))</f>
        <v/>
      </c>
      <c r="G113" s="45" t="str">
        <f>IF(C113="","",INDEX(I_TO,L113))</f>
        <v/>
      </c>
      <c r="H113" s="46" t="str">
        <f>IF(C113="","",INDEX(I_Brut,L113))</f>
        <v/>
      </c>
      <c r="I113" s="41" t="str">
        <f>IF(C113="","",IF(H113&gt;0,D113*1000/H113,""))</f>
        <v/>
      </c>
      <c r="J113" s="58" t="str">
        <f>IF(C113="","",INDEX(M_FE,L113))</f>
        <v/>
      </c>
      <c r="K113" s="2" t="str">
        <f>IF(C113="","",INDEX(M_Src,L113))</f>
        <v/>
      </c>
      <c r="L113" s="59">
        <f>MATCH(LARGE(I_Key,74),I_Key,0)</f>
        <v>74</v>
      </c>
    </row>
    <row r="114">
      <c r="B114" s="56" t="str">
        <f>IF(C114="","",75)</f>
        <v/>
      </c>
      <c r="C114" s="7" t="str">
        <f>IF(INDEX(I_CO2,L114)&gt;0,INDEX(I_Nom,L114),"")</f>
        <v/>
      </c>
      <c r="D114" s="43" t="str">
        <f>IF(C114="","",INDEX(I_CO2,L114))</f>
        <v/>
      </c>
      <c r="E114" s="57" t="str">
        <f>IF(C114="","",D114/S_YTD)</f>
        <v/>
      </c>
      <c r="F114" s="44" t="str">
        <f>IF(C114="","",INDEX(I_kWh,L114))</f>
        <v/>
      </c>
      <c r="G114" s="45" t="str">
        <f>IF(C114="","",INDEX(I_TO,L114))</f>
        <v/>
      </c>
      <c r="H114" s="46" t="str">
        <f>IF(C114="","",INDEX(I_Brut,L114))</f>
        <v/>
      </c>
      <c r="I114" s="41" t="str">
        <f>IF(C114="","",IF(H114&gt;0,D114*1000/H114,""))</f>
        <v/>
      </c>
      <c r="J114" s="58" t="str">
        <f>IF(C114="","",INDEX(M_FE,L114))</f>
        <v/>
      </c>
      <c r="K114" s="2" t="str">
        <f>IF(C114="","",INDEX(M_Src,L114))</f>
        <v/>
      </c>
      <c r="L114" s="59">
        <f>MATCH(LARGE(I_Key,75),I_Key,0)</f>
        <v>75</v>
      </c>
    </row>
    <row r="115">
      <c r="B115" s="56" t="str">
        <f>IF(C115="","",76)</f>
        <v/>
      </c>
      <c r="C115" s="7" t="str">
        <f>IF(INDEX(I_CO2,L115)&gt;0,INDEX(I_Nom,L115),"")</f>
        <v/>
      </c>
      <c r="D115" s="43" t="str">
        <f>IF(C115="","",INDEX(I_CO2,L115))</f>
        <v/>
      </c>
      <c r="E115" s="57" t="str">
        <f>IF(C115="","",D115/S_YTD)</f>
        <v/>
      </c>
      <c r="F115" s="44" t="str">
        <f>IF(C115="","",INDEX(I_kWh,L115))</f>
        <v/>
      </c>
      <c r="G115" s="45" t="str">
        <f>IF(C115="","",INDEX(I_TO,L115))</f>
        <v/>
      </c>
      <c r="H115" s="46" t="str">
        <f>IF(C115="","",INDEX(I_Brut,L115))</f>
        <v/>
      </c>
      <c r="I115" s="41" t="str">
        <f>IF(C115="","",IF(H115&gt;0,D115*1000/H115,""))</f>
        <v/>
      </c>
      <c r="J115" s="58" t="str">
        <f>IF(C115="","",INDEX(M_FE,L115))</f>
        <v/>
      </c>
      <c r="K115" s="2" t="str">
        <f>IF(C115="","",INDEX(M_Src,L115))</f>
        <v/>
      </c>
      <c r="L115" s="59">
        <f>MATCH(LARGE(I_Key,76),I_Key,0)</f>
        <v>76</v>
      </c>
    </row>
    <row r="116">
      <c r="B116" s="56" t="str">
        <f>IF(C116="","",77)</f>
        <v/>
      </c>
      <c r="C116" s="7" t="str">
        <f>IF(INDEX(I_CO2,L116)&gt;0,INDEX(I_Nom,L116),"")</f>
        <v/>
      </c>
      <c r="D116" s="43" t="str">
        <f>IF(C116="","",INDEX(I_CO2,L116))</f>
        <v/>
      </c>
      <c r="E116" s="57" t="str">
        <f>IF(C116="","",D116/S_YTD)</f>
        <v/>
      </c>
      <c r="F116" s="44" t="str">
        <f>IF(C116="","",INDEX(I_kWh,L116))</f>
        <v/>
      </c>
      <c r="G116" s="45" t="str">
        <f>IF(C116="","",INDEX(I_TO,L116))</f>
        <v/>
      </c>
      <c r="H116" s="46" t="str">
        <f>IF(C116="","",INDEX(I_Brut,L116))</f>
        <v/>
      </c>
      <c r="I116" s="41" t="str">
        <f>IF(C116="","",IF(H116&gt;0,D116*1000/H116,""))</f>
        <v/>
      </c>
      <c r="J116" s="58" t="str">
        <f>IF(C116="","",INDEX(M_FE,L116))</f>
        <v/>
      </c>
      <c r="K116" s="2" t="str">
        <f>IF(C116="","",INDEX(M_Src,L116))</f>
        <v/>
      </c>
      <c r="L116" s="59">
        <f>MATCH(LARGE(I_Key,77),I_Key,0)</f>
        <v>77</v>
      </c>
    </row>
    <row r="117">
      <c r="B117" s="56" t="str">
        <f>IF(C117="","",78)</f>
        <v/>
      </c>
      <c r="C117" s="7" t="str">
        <f>IF(INDEX(I_CO2,L117)&gt;0,INDEX(I_Nom,L117),"")</f>
        <v/>
      </c>
      <c r="D117" s="43" t="str">
        <f>IF(C117="","",INDEX(I_CO2,L117))</f>
        <v/>
      </c>
      <c r="E117" s="57" t="str">
        <f>IF(C117="","",D117/S_YTD)</f>
        <v/>
      </c>
      <c r="F117" s="44" t="str">
        <f>IF(C117="","",INDEX(I_kWh,L117))</f>
        <v/>
      </c>
      <c r="G117" s="45" t="str">
        <f>IF(C117="","",INDEX(I_TO,L117))</f>
        <v/>
      </c>
      <c r="H117" s="46" t="str">
        <f>IF(C117="","",INDEX(I_Brut,L117))</f>
        <v/>
      </c>
      <c r="I117" s="41" t="str">
        <f>IF(C117="","",IF(H117&gt;0,D117*1000/H117,""))</f>
        <v/>
      </c>
      <c r="J117" s="58" t="str">
        <f>IF(C117="","",INDEX(M_FE,L117))</f>
        <v/>
      </c>
      <c r="K117" s="2" t="str">
        <f>IF(C117="","",INDEX(M_Src,L117))</f>
        <v/>
      </c>
      <c r="L117" s="59">
        <f>MATCH(LARGE(I_Key,78),I_Key,0)</f>
        <v>78</v>
      </c>
    </row>
    <row r="118">
      <c r="B118" s="56" t="str">
        <f>IF(C118="","",79)</f>
        <v/>
      </c>
      <c r="C118" s="7" t="str">
        <f>IF(INDEX(I_CO2,L118)&gt;0,INDEX(I_Nom,L118),"")</f>
        <v/>
      </c>
      <c r="D118" s="43" t="str">
        <f>IF(C118="","",INDEX(I_CO2,L118))</f>
        <v/>
      </c>
      <c r="E118" s="57" t="str">
        <f>IF(C118="","",D118/S_YTD)</f>
        <v/>
      </c>
      <c r="F118" s="44" t="str">
        <f>IF(C118="","",INDEX(I_kWh,L118))</f>
        <v/>
      </c>
      <c r="G118" s="45" t="str">
        <f>IF(C118="","",INDEX(I_TO,L118))</f>
        <v/>
      </c>
      <c r="H118" s="46" t="str">
        <f>IF(C118="","",INDEX(I_Brut,L118))</f>
        <v/>
      </c>
      <c r="I118" s="41" t="str">
        <f>IF(C118="","",IF(H118&gt;0,D118*1000/H118,""))</f>
        <v/>
      </c>
      <c r="J118" s="58" t="str">
        <f>IF(C118="","",INDEX(M_FE,L118))</f>
        <v/>
      </c>
      <c r="K118" s="2" t="str">
        <f>IF(C118="","",INDEX(M_Src,L118))</f>
        <v/>
      </c>
      <c r="L118" s="59">
        <f>MATCH(LARGE(I_Key,79),I_Key,0)</f>
        <v>79</v>
      </c>
    </row>
    <row r="119">
      <c r="B119" s="56" t="str">
        <f>IF(C119="","",80)</f>
        <v/>
      </c>
      <c r="C119" s="7" t="str">
        <f>IF(INDEX(I_CO2,L119)&gt;0,INDEX(I_Nom,L119),"")</f>
        <v/>
      </c>
      <c r="D119" s="43" t="str">
        <f>IF(C119="","",INDEX(I_CO2,L119))</f>
        <v/>
      </c>
      <c r="E119" s="57" t="str">
        <f>IF(C119="","",D119/S_YTD)</f>
        <v/>
      </c>
      <c r="F119" s="44" t="str">
        <f>IF(C119="","",INDEX(I_kWh,L119))</f>
        <v/>
      </c>
      <c r="G119" s="45" t="str">
        <f>IF(C119="","",INDEX(I_TO,L119))</f>
        <v/>
      </c>
      <c r="H119" s="46" t="str">
        <f>IF(C119="","",INDEX(I_Brut,L119))</f>
        <v/>
      </c>
      <c r="I119" s="41" t="str">
        <f>IF(C119="","",IF(H119&gt;0,D119*1000/H119,""))</f>
        <v/>
      </c>
      <c r="J119" s="58" t="str">
        <f>IF(C119="","",INDEX(M_FE,L119))</f>
        <v/>
      </c>
      <c r="K119" s="2" t="str">
        <f>IF(C119="","",INDEX(M_Src,L119))</f>
        <v/>
      </c>
      <c r="L119" s="59">
        <f>MATCH(LARGE(I_Key,80),I_Key,0)</f>
        <v>80</v>
      </c>
    </row>
    <row r="120">
      <c r="B120" s="56" t="str">
        <f>IF(C120="","",81)</f>
        <v/>
      </c>
      <c r="C120" s="7" t="str">
        <f>IF(INDEX(I_CO2,L120)&gt;0,INDEX(I_Nom,L120),"")</f>
        <v/>
      </c>
      <c r="D120" s="43" t="str">
        <f>IF(C120="","",INDEX(I_CO2,L120))</f>
        <v/>
      </c>
      <c r="E120" s="57" t="str">
        <f>IF(C120="","",D120/S_YTD)</f>
        <v/>
      </c>
      <c r="F120" s="44" t="str">
        <f>IF(C120="","",INDEX(I_kWh,L120))</f>
        <v/>
      </c>
      <c r="G120" s="45" t="str">
        <f>IF(C120="","",INDEX(I_TO,L120))</f>
        <v/>
      </c>
      <c r="H120" s="46" t="str">
        <f>IF(C120="","",INDEX(I_Brut,L120))</f>
        <v/>
      </c>
      <c r="I120" s="41" t="str">
        <f>IF(C120="","",IF(H120&gt;0,D120*1000/H120,""))</f>
        <v/>
      </c>
      <c r="J120" s="58" t="str">
        <f>IF(C120="","",INDEX(M_FE,L120))</f>
        <v/>
      </c>
      <c r="K120" s="2" t="str">
        <f>IF(C120="","",INDEX(M_Src,L120))</f>
        <v/>
      </c>
      <c r="L120" s="59">
        <f>MATCH(LARGE(I_Key,81),I_Key,0)</f>
        <v>81</v>
      </c>
    </row>
    <row r="121">
      <c r="B121" s="56" t="str">
        <f>IF(C121="","",82)</f>
        <v/>
      </c>
      <c r="C121" s="7" t="str">
        <f>IF(INDEX(I_CO2,L121)&gt;0,INDEX(I_Nom,L121),"")</f>
        <v/>
      </c>
      <c r="D121" s="43" t="str">
        <f>IF(C121="","",INDEX(I_CO2,L121))</f>
        <v/>
      </c>
      <c r="E121" s="57" t="str">
        <f>IF(C121="","",D121/S_YTD)</f>
        <v/>
      </c>
      <c r="F121" s="44" t="str">
        <f>IF(C121="","",INDEX(I_kWh,L121))</f>
        <v/>
      </c>
      <c r="G121" s="45" t="str">
        <f>IF(C121="","",INDEX(I_TO,L121))</f>
        <v/>
      </c>
      <c r="H121" s="46" t="str">
        <f>IF(C121="","",INDEX(I_Brut,L121))</f>
        <v/>
      </c>
      <c r="I121" s="41" t="str">
        <f>IF(C121="","",IF(H121&gt;0,D121*1000/H121,""))</f>
        <v/>
      </c>
      <c r="J121" s="58" t="str">
        <f>IF(C121="","",INDEX(M_FE,L121))</f>
        <v/>
      </c>
      <c r="K121" s="2" t="str">
        <f>IF(C121="","",INDEX(M_Src,L121))</f>
        <v/>
      </c>
      <c r="L121" s="59">
        <f>MATCH(LARGE(I_Key,82),I_Key,0)</f>
        <v>82</v>
      </c>
    </row>
    <row r="122">
      <c r="B122" s="56" t="str">
        <f>IF(C122="","",83)</f>
        <v/>
      </c>
      <c r="C122" s="7" t="str">
        <f>IF(INDEX(I_CO2,L122)&gt;0,INDEX(I_Nom,L122),"")</f>
        <v/>
      </c>
      <c r="D122" s="43" t="str">
        <f>IF(C122="","",INDEX(I_CO2,L122))</f>
        <v/>
      </c>
      <c r="E122" s="57" t="str">
        <f>IF(C122="","",D122/S_YTD)</f>
        <v/>
      </c>
      <c r="F122" s="44" t="str">
        <f>IF(C122="","",INDEX(I_kWh,L122))</f>
        <v/>
      </c>
      <c r="G122" s="45" t="str">
        <f>IF(C122="","",INDEX(I_TO,L122))</f>
        <v/>
      </c>
      <c r="H122" s="46" t="str">
        <f>IF(C122="","",INDEX(I_Brut,L122))</f>
        <v/>
      </c>
      <c r="I122" s="41" t="str">
        <f>IF(C122="","",IF(H122&gt;0,D122*1000/H122,""))</f>
        <v/>
      </c>
      <c r="J122" s="58" t="str">
        <f>IF(C122="","",INDEX(M_FE,L122))</f>
        <v/>
      </c>
      <c r="K122" s="2" t="str">
        <f>IF(C122="","",INDEX(M_Src,L122))</f>
        <v/>
      </c>
      <c r="L122" s="59">
        <f>MATCH(LARGE(I_Key,83),I_Key,0)</f>
        <v>83</v>
      </c>
    </row>
    <row r="123">
      <c r="B123" s="56" t="str">
        <f>IF(C123="","",84)</f>
        <v/>
      </c>
      <c r="C123" s="7" t="str">
        <f>IF(INDEX(I_CO2,L123)&gt;0,INDEX(I_Nom,L123),"")</f>
        <v/>
      </c>
      <c r="D123" s="43" t="str">
        <f>IF(C123="","",INDEX(I_CO2,L123))</f>
        <v/>
      </c>
      <c r="E123" s="57" t="str">
        <f>IF(C123="","",D123/S_YTD)</f>
        <v/>
      </c>
      <c r="F123" s="44" t="str">
        <f>IF(C123="","",INDEX(I_kWh,L123))</f>
        <v/>
      </c>
      <c r="G123" s="45" t="str">
        <f>IF(C123="","",INDEX(I_TO,L123))</f>
        <v/>
      </c>
      <c r="H123" s="46" t="str">
        <f>IF(C123="","",INDEX(I_Brut,L123))</f>
        <v/>
      </c>
      <c r="I123" s="41" t="str">
        <f>IF(C123="","",IF(H123&gt;0,D123*1000/H123,""))</f>
        <v/>
      </c>
      <c r="J123" s="58" t="str">
        <f>IF(C123="","",INDEX(M_FE,L123))</f>
        <v/>
      </c>
      <c r="K123" s="2" t="str">
        <f>IF(C123="","",INDEX(M_Src,L123))</f>
        <v/>
      </c>
      <c r="L123" s="59">
        <f>MATCH(LARGE(I_Key,84),I_Key,0)</f>
        <v>84</v>
      </c>
    </row>
    <row r="124">
      <c r="B124" s="56" t="str">
        <f>IF(C124="","",85)</f>
        <v/>
      </c>
      <c r="C124" s="7" t="str">
        <f>IF(INDEX(I_CO2,L124)&gt;0,INDEX(I_Nom,L124),"")</f>
        <v/>
      </c>
      <c r="D124" s="43" t="str">
        <f>IF(C124="","",INDEX(I_CO2,L124))</f>
        <v/>
      </c>
      <c r="E124" s="57" t="str">
        <f>IF(C124="","",D124/S_YTD)</f>
        <v/>
      </c>
      <c r="F124" s="44" t="str">
        <f>IF(C124="","",INDEX(I_kWh,L124))</f>
        <v/>
      </c>
      <c r="G124" s="45" t="str">
        <f>IF(C124="","",INDEX(I_TO,L124))</f>
        <v/>
      </c>
      <c r="H124" s="46" t="str">
        <f>IF(C124="","",INDEX(I_Brut,L124))</f>
        <v/>
      </c>
      <c r="I124" s="41" t="str">
        <f>IF(C124="","",IF(H124&gt;0,D124*1000/H124,""))</f>
        <v/>
      </c>
      <c r="J124" s="58" t="str">
        <f>IF(C124="","",INDEX(M_FE,L124))</f>
        <v/>
      </c>
      <c r="K124" s="2" t="str">
        <f>IF(C124="","",INDEX(M_Src,L124))</f>
        <v/>
      </c>
      <c r="L124" s="59">
        <f>MATCH(LARGE(I_Key,85),I_Key,0)</f>
        <v>85</v>
      </c>
    </row>
    <row r="125">
      <c r="B125" s="56" t="str">
        <f>IF(C125="","",86)</f>
        <v/>
      </c>
      <c r="C125" s="7" t="str">
        <f>IF(INDEX(I_CO2,L125)&gt;0,INDEX(I_Nom,L125),"")</f>
        <v/>
      </c>
      <c r="D125" s="43" t="str">
        <f>IF(C125="","",INDEX(I_CO2,L125))</f>
        <v/>
      </c>
      <c r="E125" s="57" t="str">
        <f>IF(C125="","",D125/S_YTD)</f>
        <v/>
      </c>
      <c r="F125" s="44" t="str">
        <f>IF(C125="","",INDEX(I_kWh,L125))</f>
        <v/>
      </c>
      <c r="G125" s="45" t="str">
        <f>IF(C125="","",INDEX(I_TO,L125))</f>
        <v/>
      </c>
      <c r="H125" s="46" t="str">
        <f>IF(C125="","",INDEX(I_Brut,L125))</f>
        <v/>
      </c>
      <c r="I125" s="41" t="str">
        <f>IF(C125="","",IF(H125&gt;0,D125*1000/H125,""))</f>
        <v/>
      </c>
      <c r="J125" s="58" t="str">
        <f>IF(C125="","",INDEX(M_FE,L125))</f>
        <v/>
      </c>
      <c r="K125" s="2" t="str">
        <f>IF(C125="","",INDEX(M_Src,L125))</f>
        <v/>
      </c>
      <c r="L125" s="59">
        <f>MATCH(LARGE(I_Key,86),I_Key,0)</f>
        <v>86</v>
      </c>
    </row>
    <row r="126">
      <c r="B126" s="56" t="str">
        <f>IF(C126="","",87)</f>
        <v/>
      </c>
      <c r="C126" s="7" t="str">
        <f>IF(INDEX(I_CO2,L126)&gt;0,INDEX(I_Nom,L126),"")</f>
        <v/>
      </c>
      <c r="D126" s="43" t="str">
        <f>IF(C126="","",INDEX(I_CO2,L126))</f>
        <v/>
      </c>
      <c r="E126" s="57" t="str">
        <f>IF(C126="","",D126/S_YTD)</f>
        <v/>
      </c>
      <c r="F126" s="44" t="str">
        <f>IF(C126="","",INDEX(I_kWh,L126))</f>
        <v/>
      </c>
      <c r="G126" s="45" t="str">
        <f>IF(C126="","",INDEX(I_TO,L126))</f>
        <v/>
      </c>
      <c r="H126" s="46" t="str">
        <f>IF(C126="","",INDEX(I_Brut,L126))</f>
        <v/>
      </c>
      <c r="I126" s="41" t="str">
        <f>IF(C126="","",IF(H126&gt;0,D126*1000/H126,""))</f>
        <v/>
      </c>
      <c r="J126" s="58" t="str">
        <f>IF(C126="","",INDEX(M_FE,L126))</f>
        <v/>
      </c>
      <c r="K126" s="2" t="str">
        <f>IF(C126="","",INDEX(M_Src,L126))</f>
        <v/>
      </c>
      <c r="L126" s="59">
        <f>MATCH(LARGE(I_Key,87),I_Key,0)</f>
        <v>87</v>
      </c>
    </row>
    <row r="127">
      <c r="B127" s="56" t="str">
        <f>IF(C127="","",88)</f>
        <v/>
      </c>
      <c r="C127" s="7" t="str">
        <f>IF(INDEX(I_CO2,L127)&gt;0,INDEX(I_Nom,L127),"")</f>
        <v/>
      </c>
      <c r="D127" s="43" t="str">
        <f>IF(C127="","",INDEX(I_CO2,L127))</f>
        <v/>
      </c>
      <c r="E127" s="57" t="str">
        <f>IF(C127="","",D127/S_YTD)</f>
        <v/>
      </c>
      <c r="F127" s="44" t="str">
        <f>IF(C127="","",INDEX(I_kWh,L127))</f>
        <v/>
      </c>
      <c r="G127" s="45" t="str">
        <f>IF(C127="","",INDEX(I_TO,L127))</f>
        <v/>
      </c>
      <c r="H127" s="46" t="str">
        <f>IF(C127="","",INDEX(I_Brut,L127))</f>
        <v/>
      </c>
      <c r="I127" s="41" t="str">
        <f>IF(C127="","",IF(H127&gt;0,D127*1000/H127,""))</f>
        <v/>
      </c>
      <c r="J127" s="58" t="str">
        <f>IF(C127="","",INDEX(M_FE,L127))</f>
        <v/>
      </c>
      <c r="K127" s="2" t="str">
        <f>IF(C127="","",INDEX(M_Src,L127))</f>
        <v/>
      </c>
      <c r="L127" s="59">
        <f>MATCH(LARGE(I_Key,88),I_Key,0)</f>
        <v>88</v>
      </c>
    </row>
    <row r="128">
      <c r="B128" s="56" t="str">
        <f>IF(C128="","",89)</f>
        <v/>
      </c>
      <c r="C128" s="7" t="str">
        <f>IF(INDEX(I_CO2,L128)&gt;0,INDEX(I_Nom,L128),"")</f>
        <v/>
      </c>
      <c r="D128" s="43" t="str">
        <f>IF(C128="","",INDEX(I_CO2,L128))</f>
        <v/>
      </c>
      <c r="E128" s="57" t="str">
        <f>IF(C128="","",D128/S_YTD)</f>
        <v/>
      </c>
      <c r="F128" s="44" t="str">
        <f>IF(C128="","",INDEX(I_kWh,L128))</f>
        <v/>
      </c>
      <c r="G128" s="45" t="str">
        <f>IF(C128="","",INDEX(I_TO,L128))</f>
        <v/>
      </c>
      <c r="H128" s="46" t="str">
        <f>IF(C128="","",INDEX(I_Brut,L128))</f>
        <v/>
      </c>
      <c r="I128" s="41" t="str">
        <f>IF(C128="","",IF(H128&gt;0,D128*1000/H128,""))</f>
        <v/>
      </c>
      <c r="J128" s="58" t="str">
        <f>IF(C128="","",INDEX(M_FE,L128))</f>
        <v/>
      </c>
      <c r="K128" s="2" t="str">
        <f>IF(C128="","",INDEX(M_Src,L128))</f>
        <v/>
      </c>
      <c r="L128" s="59">
        <f>MATCH(LARGE(I_Key,89),I_Key,0)</f>
        <v>89</v>
      </c>
    </row>
  </sheetData>
  <conditionalFormatting sqref="E40:E128">
    <cfRule type="expression" priority="1" dxfId="0">
      <formula>AND(ISNUMBER(E40),E40&gt;=0.2)</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737885"/>
    <outlinePr summaryBelow="1" summaryRight="1"/>
    <pageSetUpPr/>
  </sheetPr>
  <dimension ref="B2:Z118"/>
  <sheetViews>
    <sheetView showGridLines="0" tabSelected="0" zoomScale="90" workbookViewId="0">
      <selection activeCell="A1" sqref="A1"/>
    </sheetView>
  </sheetViews>
  <sheetFormatPr baseColWidth="8" defaultRowHeight="15"/>
  <cols>
    <col width="2.5" customWidth="1" min="1" max="1"/>
    <col width="36" customWidth="1" min="2" max="2"/>
    <col width="22" customWidth="1" min="3" max="3"/>
    <col width="14" customWidth="1" min="4" max="4"/>
    <col width="14" customWidth="1" min="5" max="5"/>
    <col width="11" customWidth="1" min="6" max="6"/>
    <col width="17" customWidth="1" min="7" max="7"/>
    <col width="12" customWidth="1" min="8" max="8"/>
    <col width="9" customWidth="1" min="9" max="9"/>
    <col width="9" customWidth="1" min="10" max="10"/>
    <col width="9" customWidth="1" min="11" max="11"/>
    <col width="9" customWidth="1" min="12" max="12"/>
    <col width="12" customWidth="1" min="13" max="13"/>
    <col width="8" customWidth="1" min="14" max="14"/>
    <col width="8" customWidth="1" min="15" max="15"/>
    <col width="8" customWidth="1" min="16" max="16"/>
    <col width="24" customWidth="1" min="17" max="17"/>
    <col width="12" customWidth="1" min="18" max="18"/>
    <col width="7" customWidth="1" min="19" max="19"/>
    <col width="12" customWidth="1" min="20" max="20"/>
    <col width="12" customWidth="1" min="21" max="21"/>
    <col width="6" customWidth="1" min="22" max="22"/>
    <col width="12" customWidth="1" min="23" max="23"/>
    <col width="12" customWidth="1" min="24" max="24"/>
    <col width="13" customWidth="1" min="25" max="25"/>
    <col width="18" customWidth="1" min="26" max="26"/>
  </cols>
  <sheetData>
    <row r="2" ht="28" customHeight="1">
      <c r="B2" s="1" t="inlineStr">
        <is>
          <t>Calcul</t>
        </is>
      </c>
    </row>
    <row r="3">
      <c r="B3" s="2" t="inlineStr">
        <is>
          <t>Formules, paramètres globaux et paramètres par modèle. Les cellules jaunes sont modifiables ; tout le classeur se recalcule.</t>
        </is>
      </c>
    </row>
    <row r="5">
      <c r="B5" s="26" t="inlineStr">
        <is>
          <t>Réglages généraux</t>
        </is>
      </c>
      <c r="C5" s="27" t="n"/>
      <c r="D5" s="27" t="n"/>
      <c r="E5" s="27" t="n"/>
      <c r="G5" s="26" t="inlineStr">
        <is>
          <t>Familles : convention par défaut (API du fournisseur)</t>
        </is>
      </c>
      <c r="H5" s="27" t="n"/>
      <c r="I5" s="27" t="n"/>
      <c r="J5" s="27" t="n"/>
      <c r="K5" s="27" t="n"/>
      <c r="L5" s="27" t="n"/>
    </row>
    <row r="6">
      <c r="B6" s="7" t="inlineStr">
        <is>
          <t>Source des facteurs d'émission</t>
        </is>
      </c>
      <c r="C6" s="60" t="inlineStr">
        <is>
          <t>Table fournie</t>
        </is>
      </c>
      <c r="D6" s="14" t="inlineStr">
        <is>
          <t>« Table fournie » = votre table kgCO₂e/token (23/10/2026). Les modèles absents de la table passent par le Calculateur de Boris.</t>
        </is>
      </c>
      <c r="G6" s="39" t="inlineStr">
        <is>
          <t>Famille</t>
        </is>
      </c>
      <c r="H6" s="40" t="inlineStr">
        <is>
          <t>Convention</t>
        </is>
      </c>
      <c r="I6" s="40" t="inlineStr">
        <is>
          <t>Source</t>
        </is>
      </c>
    </row>
    <row r="7">
      <c r="B7" s="7" t="inlineStr">
        <is>
          <t>Mix électrique (Calculateur de Boris)</t>
        </is>
      </c>
      <c r="C7" s="60" t="inlineStr">
        <is>
          <t>France (2020, EEA)</t>
        </is>
      </c>
      <c r="D7" s="14" t="inlineStr">
        <is>
          <t>Sert au calcul des modèles absents de la table, et à la vue de sensibilité C6.</t>
        </is>
      </c>
      <c r="G7" s="7" t="inlineStr">
        <is>
          <t>Anthropic</t>
        </is>
      </c>
      <c r="H7" s="61" t="inlineStr">
        <is>
          <t>Exclusive</t>
        </is>
      </c>
      <c r="I7" s="14" t="inlineStr">
        <is>
          <t>Doc Anthropic : total = cache read + cache creation + input</t>
        </is>
      </c>
    </row>
    <row r="8">
      <c r="B8" s="7" t="inlineStr">
        <is>
          <t>Mix personnalisé (gCO₂e/kWh)</t>
        </is>
      </c>
      <c r="C8" s="62" t="n">
        <v>300</v>
      </c>
      <c r="D8" s="14" t="inlineStr">
        <is>
          <t>Utilisé seulement si le mix choisi est « Personnalisé ».</t>
        </is>
      </c>
      <c r="G8" s="7" t="inlineStr">
        <is>
          <t>OpenAI ≥ GPT-5.6</t>
        </is>
      </c>
      <c r="H8" s="61" t="inlineStr">
        <is>
          <t>Inclusive</t>
        </is>
      </c>
      <c r="I8" s="14" t="inlineStr">
        <is>
          <t>Doc OpenAI : input ordinaire = input − cached − write</t>
        </is>
      </c>
    </row>
    <row r="9">
      <c r="B9" s="7" t="inlineStr">
        <is>
          <t>Mix retenu (gCO₂e/kWh)</t>
        </is>
      </c>
      <c r="C9" s="63">
        <f>IF(P_MixNom="Personnalisé",P_MixPerso,INDEX(L_MixVal,MATCH(P_MixNom,L_MixNom,0)))</f>
        <v>51.1</v>
      </c>
      <c r="D9" s="64" t="str">
        <f>INDEX(L_MixSrc,MATCH(P_MixNom,L_MixNom,0))</f>
        <v>EEA, défaut du Calculateur de Boris</v>
      </c>
      <c r="G9" s="7" t="inlineStr">
        <is>
          <t>OpenAI &lt; GPT-5.6</t>
        </is>
      </c>
      <c r="H9" s="61" t="inlineStr">
        <is>
          <t>Inclusive</t>
        </is>
      </c>
      <c r="I9" s="14" t="inlineStr">
        <is>
          <t>Doc OpenAI : pas d'écriture facturée (ε sans objet)</t>
        </is>
      </c>
    </row>
    <row r="10">
      <c r="B10" s="7" t="inlineStr">
        <is>
          <t>Inclure la fabrication (scope 3)</t>
        </is>
      </c>
      <c r="C10" s="60" t="inlineStr">
        <is>
          <t>Oui</t>
        </is>
      </c>
      <c r="D10" s="14" t="inlineStr">
        <is>
          <t>Le Calculateur de Boris ajoute la fabrication du matériel par token. Votre méthode l'exclut : mettre « Non » pour s'y conformer.</t>
        </is>
      </c>
      <c r="G10" s="7" t="inlineStr">
        <is>
          <t>Google Gemini</t>
        </is>
      </c>
      <c r="H10" s="61" t="inlineStr">
        <is>
          <t>Inclusive</t>
        </is>
      </c>
      <c r="I10" s="14" t="inlineStr">
        <is>
          <t>Doc Gemini : promptTokenCount inclut le cache</t>
        </is>
      </c>
    </row>
    <row r="11">
      <c r="B11" s="7" t="inlineStr">
        <is>
          <t>Fourchette d'incertitude basse (×)</t>
        </is>
      </c>
      <c r="C11" s="65" t="n">
        <v>0.5</v>
      </c>
      <c r="D11" s="14" t="inlineStr">
        <is>
          <t>Multiplicateur appliqué au résultat central pour la borne basse.</t>
        </is>
      </c>
      <c r="G11" s="7" t="inlineStr">
        <is>
          <t>xAI Grok</t>
        </is>
      </c>
      <c r="H11" s="61" t="inlineStr">
        <is>
          <t>Inclusive</t>
        </is>
      </c>
      <c r="I11" s="14" t="inlineStr">
        <is>
          <t>Doc xAI : le total du prompt compte le cache</t>
        </is>
      </c>
    </row>
    <row r="12">
      <c r="B12" s="7" t="inlineStr">
        <is>
          <t>Fourchette d'incertitude haute (×)</t>
        </is>
      </c>
      <c r="C12" s="65" t="n">
        <v>2</v>
      </c>
      <c r="D12" s="14" t="inlineStr">
        <is>
          <t>Multiplicateur appliqué au résultat central pour la borne haute.</t>
        </is>
      </c>
      <c r="G12" s="7" t="inlineStr">
        <is>
          <t>Moonshot Kimi</t>
        </is>
      </c>
      <c r="H12" s="61" t="inlineStr">
        <is>
          <t>Inclusive</t>
        </is>
      </c>
      <c r="I12" s="14" t="inlineStr">
        <is>
          <t>Doc Fireworks : cache inclus dans le total du prompt</t>
        </is>
      </c>
    </row>
    <row r="13">
      <c r="B13" s="7" t="inlineStr">
        <is>
          <t>Projection : fenêtre (jours)</t>
        </is>
      </c>
      <c r="C13" s="66" t="n">
        <v>28</v>
      </c>
      <c r="D13" s="14" t="inlineStr">
        <is>
          <t>Rythme quotidien moyen des N derniers jours de données, prolongé jusqu'au 31 décembre.</t>
        </is>
      </c>
      <c r="G13" s="7" t="inlineStr">
        <is>
          <t>Microsoft MAI</t>
        </is>
      </c>
      <c r="H13" s="61" t="inlineStr">
        <is>
          <t>Inclusive</t>
        </is>
      </c>
      <c r="I13" s="14" t="inlineStr">
        <is>
          <t>Aucune source trouvée : inclusive par défaut</t>
        </is>
      </c>
    </row>
    <row r="14">
      <c r="B14" s="7" t="inlineStr">
        <is>
          <t>Projection : ajustement</t>
        </is>
      </c>
      <c r="C14" s="67" t="n">
        <v>0</v>
      </c>
      <c r="D14" s="14" t="inlineStr">
        <is>
          <t>Hausse ou baisse appliquée au rythme projeté (ex. +10 % si le déploiement s'élargit).</t>
        </is>
      </c>
      <c r="G14" s="7" t="inlineStr">
        <is>
          <t>Hors grille</t>
        </is>
      </c>
      <c r="H14" s="61" t="inlineStr">
        <is>
          <t>Inclusive</t>
        </is>
      </c>
      <c r="I14" s="14" t="inlineStr">
        <is>
          <t>Modèle absent de la grille : inclusive par défaut</t>
        </is>
      </c>
    </row>
    <row r="15">
      <c r="G15" s="14" t="inlineStr">
        <is>
          <t>Ordre d'application : convention forcée, sinon C2 (cache &gt; input sur une ligne : exclusive), sinon C3 (rapprochement des coûts de la famille), sinon cette valeur.</t>
        </is>
      </c>
    </row>
    <row r="16">
      <c r="B16" s="26" t="inlineStr">
        <is>
          <t>Formules (par ligne de l'export)</t>
        </is>
      </c>
      <c r="C16" s="27" t="n"/>
      <c r="D16" s="27" t="n"/>
      <c r="E16" s="27" t="n"/>
    </row>
    <row r="17">
      <c r="B17" s="7" t="inlineStr">
        <is>
          <t>Input frais (tokens)</t>
        </is>
      </c>
      <c r="C17" s="68" t="inlineStr">
        <is>
          <t>F = max(0, I − δ·CR − ε·CW)</t>
        </is>
      </c>
    </row>
    <row r="18">
      <c r="B18" s="7" t="inlineStr">
        <is>
          <t>Tokens équivalent output</t>
        </is>
      </c>
      <c r="C18" s="68" t="inlineStr">
        <is>
          <t>T_O = F·s_I + CR·s_CR + CW·s_CW + O</t>
        </is>
      </c>
    </row>
    <row r="19">
      <c r="B19" s="7" t="inlineStr">
        <is>
          <t>Énergie (kWh)</t>
        </is>
      </c>
      <c r="C19" s="68" t="inlineStr">
        <is>
          <t>E = T_O × e_O × PUE / 1000</t>
        </is>
      </c>
    </row>
    <row r="20">
      <c r="B20" s="7" t="inlineStr">
        <is>
          <t>Empreinte (kgCO₂e)</t>
        </is>
      </c>
      <c r="C20" s="68" t="inlineStr">
        <is>
          <t>CO₂e = T_O × FE_token</t>
        </is>
      </c>
    </row>
    <row r="21">
      <c r="B21" s="7" t="inlineStr">
        <is>
          <t>FE_token calculé (Calculateur de Boris)</t>
        </is>
      </c>
      <c r="C21" s="68" t="inlineStr">
        <is>
          <t>FE = e_O × PUE × FE_mix / 10⁶ + fab</t>
        </is>
      </c>
    </row>
    <row r="23">
      <c r="B23" s="14" t="inlineStr">
        <is>
          <t>I, O, CR, CW : colonnes input, output, cache_read, cache_write. δ, ε : convention de l'input (1 = l'input contient déjà le cache). s_I, s_CR, s_CW : prix rapportés au prix de l'output. Les formules sont dans les colonnes bleues de l'onglet Données.</t>
        </is>
      </c>
    </row>
    <row r="27">
      <c r="B27" s="26" t="inlineStr">
        <is>
          <t>Paramètres par modèle</t>
        </is>
      </c>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c r="B28" s="14" t="inlineStr">
        <is>
          <t>Grille GitHub du 20/10/2026 ($ par million de tokens). Pour un nouveau modèle, remplissez une ligne vide en bas de la table (au minimum Modèle, prix et e_O). Les noms « Auto: X » utilisent la ligne de X. « (Autre modèle) » sert aux modèles inconnus.</t>
        </is>
      </c>
    </row>
    <row r="29" ht="42" customHeight="1">
      <c r="B29" s="39" t="inlineStr">
        <is>
          <t>Modèle</t>
        </is>
      </c>
      <c r="C29" s="40" t="inlineStr">
        <is>
          <t>Famille</t>
        </is>
      </c>
      <c r="D29" s="40" t="inlineStr">
        <is>
          <t>Convention forcée</t>
        </is>
      </c>
      <c r="E29" s="40" t="inlineStr">
        <is>
          <t>Convention appliquée</t>
        </is>
      </c>
      <c r="F29" s="40" t="inlineStr">
        <is>
          <t>Origine</t>
        </is>
      </c>
      <c r="G29" s="40" t="inlineStr">
        <is>
          <t>δ</t>
        </is>
      </c>
      <c r="H29" s="40" t="inlineStr">
        <is>
          <t>ε</t>
        </is>
      </c>
      <c r="I29" s="40" t="inlineStr">
        <is>
          <t>P_I</t>
        </is>
      </c>
      <c r="J29" s="40" t="inlineStr">
        <is>
          <t>P_CR</t>
        </is>
      </c>
      <c r="K29" s="40" t="inlineStr">
        <is>
          <t>P_CW</t>
        </is>
      </c>
      <c r="L29" s="40" t="inlineStr">
        <is>
          <t>P_O</t>
        </is>
      </c>
      <c r="M29" s="40" t="inlineStr">
        <is>
          <t>Tarif valable avant le</t>
        </is>
      </c>
      <c r="N29" s="40" t="inlineStr">
        <is>
          <t>s_I</t>
        </is>
      </c>
      <c r="O29" s="40" t="inlineStr">
        <is>
          <t>s_CR</t>
        </is>
      </c>
      <c r="P29" s="40" t="inlineStr">
        <is>
          <t>s_CW</t>
        </is>
      </c>
      <c r="Q29" s="40" t="inlineStr">
        <is>
          <t>Scénario EcoLogits</t>
        </is>
      </c>
      <c r="R29" s="40" t="inlineStr">
        <is>
          <t>e_O (Wh/token)</t>
        </is>
      </c>
      <c r="S29" s="40" t="inlineStr">
        <is>
          <t>PUE</t>
        </is>
      </c>
      <c r="T29" s="40" t="inlineStr">
        <is>
          <t>fab (kgCO₂e/token)</t>
        </is>
      </c>
      <c r="U29" s="40" t="inlineStr">
        <is>
          <t>FE table (kgCO₂e/token)</t>
        </is>
      </c>
      <c r="V29" s="40" t="inlineStr">
        <is>
          <t>S/H</t>
        </is>
      </c>
      <c r="W29" s="40" t="inlineStr">
        <is>
          <t>FE forcé (kgCO₂e/token)</t>
        </is>
      </c>
      <c r="X29" s="40" t="inlineStr">
        <is>
          <t>FE calculé (kgCO₂e/token)</t>
        </is>
      </c>
      <c r="Y29" s="40" t="inlineStr">
        <is>
          <t>FE retenu (kgCO₂e/token)</t>
        </is>
      </c>
      <c r="Z29" s="40" t="inlineStr">
        <is>
          <t>Source du FE</t>
        </is>
      </c>
    </row>
    <row r="30">
      <c r="B30" s="69" t="inlineStr">
        <is>
          <t>GPT-5.3-Codex</t>
        </is>
      </c>
      <c r="C30" s="69" t="inlineStr">
        <is>
          <t>OpenAI &lt; GPT-5.6</t>
        </is>
      </c>
      <c r="D30" s="69" t="n"/>
      <c r="E30" s="34" t="str">
        <f>IF(B30="","",IF(D30&lt;&gt;"",D30,IF('Contrôles'!$J$62&gt;0,"Exclusive",IF('Contrôles'!$U$62&lt;&gt;"",'Contrôles'!$U$62,IFERROR(INDEX(F_Conv,MATCH(C30,F_Fam,0)),"Inclusive")))))</f>
        <v>Inclusive</v>
      </c>
      <c r="F30" s="70" t="str">
        <f>IF(B30="","",IF(D30&lt;&gt;"","Forcée",IF('Contrôles'!$J$62&gt;0,"C2",IF('Contrôles'!$U$62&lt;&gt;"","C3","Défaut API"))))</f>
        <v>Défaut API</v>
      </c>
      <c r="G30" s="71">
        <f>IF(B30="","",IF(E30="Exclusive",0,1))</f>
        <v>1</v>
      </c>
      <c r="H30" s="71">
        <f>IF(B30="","",IF(E30="Inclusive",1,0))</f>
        <v>1</v>
      </c>
      <c r="I30" s="72" t="n">
        <v>1.75</v>
      </c>
      <c r="J30" s="72" t="n">
        <v>0.175</v>
      </c>
      <c r="K30" s="73" t="n"/>
      <c r="L30" s="72" t="n">
        <v>14</v>
      </c>
      <c r="M30" s="73" t="n"/>
      <c r="N30" s="74">
        <f>IF(B30="","",IF(N(L30)&gt;0,I30/L30,0.2))</f>
        <v>0.125</v>
      </c>
      <c r="O30" s="74">
        <f>IF(B30="","",IF(N(L30)&gt;0,J30/L30,0.02))</f>
        <v>0.0125</v>
      </c>
      <c r="P30" s="74">
        <f>IF(B30="","",IF(N(L30)&gt;0,IF(K30="",I30,K30)/L30,0.25))</f>
        <v>0.125</v>
      </c>
      <c r="Q30" s="69" t="inlineStr">
        <is>
          <t>gpt-5.3-codex</t>
        </is>
      </c>
      <c r="R30" s="75" t="n">
        <v>0.0020268642</v>
      </c>
      <c r="S30" s="76" t="n">
        <v>1.2</v>
      </c>
      <c r="T30" s="75" t="n">
        <v>5.124195e-08</v>
      </c>
      <c r="U30" s="75" t="n">
        <v>5.9e-07</v>
      </c>
      <c r="V30" s="77" t="inlineStr">
        <is>
          <t>H</t>
        </is>
      </c>
      <c r="W30" s="78" t="n"/>
      <c r="X30" s="79">
        <f>IF(B30="","",R30*S30*P_Mix/1000000+IF(P_Fab="Oui",T30,0))</f>
        <v>1.75529262744e-07</v>
      </c>
      <c r="Y30" s="80">
        <f>IF(B30="","",IF(W30&lt;&gt;"",W30,IF(AND(P_Source="Table fournie",U30&lt;&gt;""),U30,X30)))</f>
        <v>5.9e-07</v>
      </c>
      <c r="Z30" s="70" t="str">
        <f>IF(B30="","",IF(W30&lt;&gt;"","Forcé",IF(AND(P_Source="Table fournie",U30&lt;&gt;""),IF(V30="H","Table (hypothèse)","Table (sourcé)"),"Calculateur de Boris")))</f>
        <v>Table (hypothèse)</v>
      </c>
    </row>
    <row r="31">
      <c r="B31" s="69" t="inlineStr">
        <is>
          <t>GPT-5.4 nano</t>
        </is>
      </c>
      <c r="C31" s="69" t="inlineStr">
        <is>
          <t>OpenAI &lt; GPT-5.6</t>
        </is>
      </c>
      <c r="D31" s="69" t="n"/>
      <c r="E31" s="34" t="str">
        <f>IF(B31="","",IF(D31&lt;&gt;"",D31,IF('Contrôles'!$J$63&gt;0,"Exclusive",IF('Contrôles'!$U$63&lt;&gt;"",'Contrôles'!$U$63,IFERROR(INDEX(F_Conv,MATCH(C31,F_Fam,0)),"Inclusive")))))</f>
        <v>Inclusive</v>
      </c>
      <c r="F31" s="70" t="str">
        <f>IF(B31="","",IF(D31&lt;&gt;"","Forcée",IF('Contrôles'!$J$63&gt;0,"C2",IF('Contrôles'!$U$63&lt;&gt;"","C3","Défaut API"))))</f>
        <v>Défaut API</v>
      </c>
      <c r="G31" s="71">
        <f>IF(B31="","",IF(E31="Exclusive",0,1))</f>
        <v>1</v>
      </c>
      <c r="H31" s="71">
        <f>IF(B31="","",IF(E31="Inclusive",1,0))</f>
        <v>1</v>
      </c>
      <c r="I31" s="72" t="n">
        <v>0.2</v>
      </c>
      <c r="J31" s="72" t="n">
        <v>0.02</v>
      </c>
      <c r="K31" s="73" t="n"/>
      <c r="L31" s="72" t="n">
        <v>1.25</v>
      </c>
      <c r="M31" s="73" t="n"/>
      <c r="N31" s="74">
        <f>IF(B31="","",IF(N(L31)&gt;0,I31/L31,0.2))</f>
        <v>0.16</v>
      </c>
      <c r="O31" s="74">
        <f>IF(B31="","",IF(N(L31)&gt;0,J31/L31,0.02))</f>
        <v>0.016</v>
      </c>
      <c r="P31" s="74">
        <f>IF(B31="","",IF(N(L31)&gt;0,IF(K31="",I31,K31)/L31,0.25))</f>
        <v>0.16</v>
      </c>
      <c r="Q31" s="69" t="inlineStr">
        <is>
          <t>gpt-5-nano (proxy)</t>
        </is>
      </c>
      <c r="R31" s="75" t="n">
        <v>5.6971481e-05</v>
      </c>
      <c r="S31" s="76" t="n">
        <v>1.2</v>
      </c>
      <c r="T31" s="75" t="n">
        <v>1.756778e-09</v>
      </c>
      <c r="U31" s="75" t="n">
        <v>1.659e-08</v>
      </c>
      <c r="V31" s="77" t="inlineStr">
        <is>
          <t>H</t>
        </is>
      </c>
      <c r="W31" s="78" t="n"/>
      <c r="X31" s="79">
        <f>IF(B31="","",R31*S31*P_Mix/1000000+IF(P_Fab="Oui",T31,0))</f>
        <v>5.25026921492e-09</v>
      </c>
      <c r="Y31" s="80">
        <f>IF(B31="","",IF(W31&lt;&gt;"",W31,IF(AND(P_Source="Table fournie",U31&lt;&gt;""),U31,X31)))</f>
        <v>1.659e-08</v>
      </c>
      <c r="Z31" s="70" t="str">
        <f>IF(B31="","",IF(W31&lt;&gt;"","Forcé",IF(AND(P_Source="Table fournie",U31&lt;&gt;""),IF(V31="H","Table (hypothèse)","Table (sourcé)"),"Calculateur de Boris")))</f>
        <v>Table (hypothèse)</v>
      </c>
    </row>
    <row r="32">
      <c r="B32" s="69" t="inlineStr">
        <is>
          <t>GPT-5.6 Luna</t>
        </is>
      </c>
      <c r="C32" s="69" t="inlineStr">
        <is>
          <t>OpenAI ≥ GPT-5.6</t>
        </is>
      </c>
      <c r="D32" s="69" t="n"/>
      <c r="E32" s="34" t="str">
        <f>IF(B32="","",IF(D32&lt;&gt;"",D32,IF('Contrôles'!$J$64&gt;0,"Exclusive",IF('Contrôles'!$U$64&lt;&gt;"",'Contrôles'!$U$64,IFERROR(INDEX(F_Conv,MATCH(C32,F_Fam,0)),"Inclusive")))))</f>
        <v>Inclusive</v>
      </c>
      <c r="F32" s="70" t="str">
        <f>IF(B32="","",IF(D32&lt;&gt;"","Forcée",IF('Contrôles'!$J$64&gt;0,"C2",IF('Contrôles'!$U$64&lt;&gt;"","C3","Défaut API"))))</f>
        <v>Défaut API</v>
      </c>
      <c r="G32" s="71">
        <f>IF(B32="","",IF(E32="Exclusive",0,1))</f>
        <v>1</v>
      </c>
      <c r="H32" s="71">
        <f>IF(B32="","",IF(E32="Inclusive",1,0))</f>
        <v>1</v>
      </c>
      <c r="I32" s="72" t="n">
        <v>0.2</v>
      </c>
      <c r="J32" s="72" t="n">
        <v>0.02</v>
      </c>
      <c r="K32" s="72" t="n">
        <v>0.25</v>
      </c>
      <c r="L32" s="72" t="n">
        <v>1.2</v>
      </c>
      <c r="M32" s="73" t="n"/>
      <c r="N32" s="74">
        <f>IF(B32="","",IF(N(L32)&gt;0,I32/L32,0.2))</f>
        <v>0.166666666666667</v>
      </c>
      <c r="O32" s="74">
        <f>IF(B32="","",IF(N(L32)&gt;0,J32/L32,0.02))</f>
        <v>0.0166666666666667</v>
      </c>
      <c r="P32" s="74">
        <f>IF(B32="","",IF(N(L32)&gt;0,IF(K32="",I32,K32)/L32,0.25))</f>
        <v>0.208333333333333</v>
      </c>
      <c r="Q32" s="69" t="inlineStr">
        <is>
          <t>gpt-5-mini (proxy)</t>
        </is>
      </c>
      <c r="R32" s="75" t="n">
        <v>0.00037684316</v>
      </c>
      <c r="S32" s="76" t="n">
        <v>1.2</v>
      </c>
      <c r="T32" s="75" t="n">
        <v>1.229372e-08</v>
      </c>
      <c r="U32" s="75" t="n">
        <v>1e-08</v>
      </c>
      <c r="V32" s="77" t="inlineStr">
        <is>
          <t>S</t>
        </is>
      </c>
      <c r="W32" s="78" t="n"/>
      <c r="X32" s="79">
        <f>IF(B32="","",R32*S32*P_Mix/1000000+IF(P_Fab="Oui",T32,0))</f>
        <v>3.54017425712e-08</v>
      </c>
      <c r="Y32" s="80">
        <f>IF(B32="","",IF(W32&lt;&gt;"",W32,IF(AND(P_Source="Table fournie",U32&lt;&gt;""),U32,X32)))</f>
        <v>1e-08</v>
      </c>
      <c r="Z32" s="70" t="str">
        <f>IF(B32="","",IF(W32&lt;&gt;"","Forcé",IF(AND(P_Source="Table fournie",U32&lt;&gt;""),IF(V32="H","Table (hypothèse)","Table (sourcé)"),"Calculateur de Boris")))</f>
        <v>Table (sourcé)</v>
      </c>
    </row>
    <row r="33">
      <c r="B33" s="69" t="inlineStr">
        <is>
          <t>GPT-5.6 Terra</t>
        </is>
      </c>
      <c r="C33" s="69" t="inlineStr">
        <is>
          <t>OpenAI ≥ GPT-5.6</t>
        </is>
      </c>
      <c r="D33" s="69" t="n"/>
      <c r="E33" s="34" t="str">
        <f>IF(B33="","",IF(D33&lt;&gt;"",D33,IF('Contrôles'!$J$65&gt;0,"Exclusive",IF('Contrôles'!$U$65&lt;&gt;"",'Contrôles'!$U$65,IFERROR(INDEX(F_Conv,MATCH(C33,F_Fam,0)),"Inclusive")))))</f>
        <v>Inclusive</v>
      </c>
      <c r="F33" s="70" t="str">
        <f>IF(B33="","",IF(D33&lt;&gt;"","Forcée",IF('Contrôles'!$J$65&gt;0,"C2",IF('Contrôles'!$U$65&lt;&gt;"","C3","Défaut API"))))</f>
        <v>Défaut API</v>
      </c>
      <c r="G33" s="71">
        <f>IF(B33="","",IF(E33="Exclusive",0,1))</f>
        <v>1</v>
      </c>
      <c r="H33" s="71">
        <f>IF(B33="","",IF(E33="Inclusive",1,0))</f>
        <v>1</v>
      </c>
      <c r="I33" s="72" t="n">
        <v>2</v>
      </c>
      <c r="J33" s="72" t="n">
        <v>0.2</v>
      </c>
      <c r="K33" s="72" t="n">
        <v>2.5</v>
      </c>
      <c r="L33" s="72" t="n">
        <v>12</v>
      </c>
      <c r="M33" s="73" t="n"/>
      <c r="N33" s="74">
        <f>IF(B33="","",IF(N(L33)&gt;0,I33/L33,0.2))</f>
        <v>0.166666666666667</v>
      </c>
      <c r="O33" s="74">
        <f>IF(B33="","",IF(N(L33)&gt;0,J33/L33,0.02))</f>
        <v>0.0166666666666667</v>
      </c>
      <c r="P33" s="74">
        <f>IF(B33="","",IF(N(L33)&gt;0,IF(K33="",I33,K33)/L33,0.25))</f>
        <v>0.208333333333333</v>
      </c>
      <c r="Q33" s="69" t="inlineStr">
        <is>
          <t>gpt-5.4 (proxy)</t>
        </is>
      </c>
      <c r="R33" s="75" t="n">
        <v>0.0017884687</v>
      </c>
      <c r="S33" s="76" t="n">
        <v>1.2</v>
      </c>
      <c r="T33" s="75" t="n">
        <v>5.090409e-08</v>
      </c>
      <c r="U33" s="75" t="n">
        <v>1e-07</v>
      </c>
      <c r="V33" s="77" t="inlineStr">
        <is>
          <t>S</t>
        </is>
      </c>
      <c r="W33" s="78" t="n"/>
      <c r="X33" s="79">
        <f>IF(B33="","",R33*S33*P_Mix/1000000+IF(P_Fab="Oui",T33,0))</f>
        <v>1.60572990684e-07</v>
      </c>
      <c r="Y33" s="80">
        <f>IF(B33="","",IF(W33&lt;&gt;"",W33,IF(AND(P_Source="Table fournie",U33&lt;&gt;""),U33,X33)))</f>
        <v>1e-07</v>
      </c>
      <c r="Z33" s="70" t="str">
        <f>IF(B33="","",IF(W33&lt;&gt;"","Forcé",IF(AND(P_Source="Table fournie",U33&lt;&gt;""),IF(V33="H","Table (hypothèse)","Table (sourcé)"),"Calculateur de Boris")))</f>
        <v>Table (sourcé)</v>
      </c>
    </row>
    <row r="34">
      <c r="B34" s="69" t="inlineStr">
        <is>
          <t>GPT-5.6 Sol</t>
        </is>
      </c>
      <c r="C34" s="69" t="inlineStr">
        <is>
          <t>OpenAI ≥ GPT-5.6</t>
        </is>
      </c>
      <c r="D34" s="69" t="n"/>
      <c r="E34" s="34" t="str">
        <f>IF(B34="","",IF(D34&lt;&gt;"",D34,IF('Contrôles'!$J$66&gt;0,"Exclusive",IF('Contrôles'!$U$66&lt;&gt;"",'Contrôles'!$U$66,IFERROR(INDEX(F_Conv,MATCH(C34,F_Fam,0)),"Inclusive")))))</f>
        <v>Inclusive</v>
      </c>
      <c r="F34" s="70" t="str">
        <f>IF(B34="","",IF(D34&lt;&gt;"","Forcée",IF('Contrôles'!$J$66&gt;0,"C2",IF('Contrôles'!$U$66&lt;&gt;"","C3","Défaut API"))))</f>
        <v>Défaut API</v>
      </c>
      <c r="G34" s="71">
        <f>IF(B34="","",IF(E34="Exclusive",0,1))</f>
        <v>1</v>
      </c>
      <c r="H34" s="71">
        <f>IF(B34="","",IF(E34="Inclusive",1,0))</f>
        <v>1</v>
      </c>
      <c r="I34" s="72" t="n">
        <v>4</v>
      </c>
      <c r="J34" s="72" t="n">
        <v>0.4</v>
      </c>
      <c r="K34" s="72" t="n">
        <v>5</v>
      </c>
      <c r="L34" s="72" t="n">
        <v>20</v>
      </c>
      <c r="M34" s="73" t="n"/>
      <c r="N34" s="74">
        <f>IF(B34="","",IF(N(L34)&gt;0,I34/L34,0.2))</f>
        <v>0.2</v>
      </c>
      <c r="O34" s="74">
        <f>IF(B34="","",IF(N(L34)&gt;0,J34/L34,0.02))</f>
        <v>0.02</v>
      </c>
      <c r="P34" s="74">
        <f>IF(B34="","",IF(N(L34)&gt;0,IF(K34="",I34,K34)/L34,0.25))</f>
        <v>0.25</v>
      </c>
      <c r="Q34" s="69" t="inlineStr">
        <is>
          <t>gpt-5.5 (proxy)</t>
        </is>
      </c>
      <c r="R34" s="75" t="n">
        <v>0.0054568626</v>
      </c>
      <c r="S34" s="76" t="n">
        <v>1.2</v>
      </c>
      <c r="T34" s="75" t="n">
        <v>1.146602e-07</v>
      </c>
      <c r="U34" s="75" t="n">
        <v>5.9e-07</v>
      </c>
      <c r="V34" s="77" t="inlineStr">
        <is>
          <t>S</t>
        </is>
      </c>
      <c r="W34" s="78" t="n"/>
      <c r="X34" s="79">
        <f>IF(B34="","",R34*S34*P_Mix/1000000+IF(P_Fab="Oui",T34,0))</f>
        <v>4.49275014632e-07</v>
      </c>
      <c r="Y34" s="80">
        <f>IF(B34="","",IF(W34&lt;&gt;"",W34,IF(AND(P_Source="Table fournie",U34&lt;&gt;""),U34,X34)))</f>
        <v>5.9e-07</v>
      </c>
      <c r="Z34" s="70" t="str">
        <f>IF(B34="","",IF(W34&lt;&gt;"","Forcé",IF(AND(P_Source="Table fournie",U34&lt;&gt;""),IF(V34="H","Table (hypothèse)","Table (sourcé)"),"Calculateur de Boris")))</f>
        <v>Table (sourcé)</v>
      </c>
    </row>
    <row r="35">
      <c r="B35" s="69" t="inlineStr">
        <is>
          <t>GPT-6 Luna</t>
        </is>
      </c>
      <c r="C35" s="69" t="inlineStr">
        <is>
          <t>OpenAI ≥ GPT-5.6</t>
        </is>
      </c>
      <c r="D35" s="69" t="n"/>
      <c r="E35" s="34" t="str">
        <f>IF(B35="","",IF(D35&lt;&gt;"",D35,IF('Contrôles'!$J$67&gt;0,"Exclusive",IF('Contrôles'!$U$67&lt;&gt;"",'Contrôles'!$U$67,IFERROR(INDEX(F_Conv,MATCH(C35,F_Fam,0)),"Inclusive")))))</f>
        <v>Inclusive</v>
      </c>
      <c r="F35" s="70" t="str">
        <f>IF(B35="","",IF(D35&lt;&gt;"","Forcée",IF('Contrôles'!$J$67&gt;0,"C2",IF('Contrôles'!$U$67&lt;&gt;"","C3","Défaut API"))))</f>
        <v>Défaut API</v>
      </c>
      <c r="G35" s="71">
        <f>IF(B35="","",IF(E35="Exclusive",0,1))</f>
        <v>1</v>
      </c>
      <c r="H35" s="71">
        <f>IF(B35="","",IF(E35="Inclusive",1,0))</f>
        <v>1</v>
      </c>
      <c r="I35" s="72" t="n">
        <v>0.1</v>
      </c>
      <c r="J35" s="72" t="n">
        <v>0.01</v>
      </c>
      <c r="K35" s="72" t="n">
        <v>0.125</v>
      </c>
      <c r="L35" s="72" t="n">
        <v>0.5</v>
      </c>
      <c r="M35" s="73" t="n"/>
      <c r="N35" s="74">
        <f>IF(B35="","",IF(N(L35)&gt;0,I35/L35,0.2))</f>
        <v>0.2</v>
      </c>
      <c r="O35" s="74">
        <f>IF(B35="","",IF(N(L35)&gt;0,J35/L35,0.02))</f>
        <v>0.02</v>
      </c>
      <c r="P35" s="74">
        <f>IF(B35="","",IF(N(L35)&gt;0,IF(K35="",I35,K35)/L35,0.25))</f>
        <v>0.25</v>
      </c>
      <c r="Q35" s="69" t="inlineStr">
        <is>
          <t>gpt-5-nano (proxy)</t>
        </is>
      </c>
      <c r="R35" s="75" t="n">
        <v>5.6971481e-05</v>
      </c>
      <c r="S35" s="76" t="n">
        <v>1.2</v>
      </c>
      <c r="T35" s="75" t="n">
        <v>1.756778e-09</v>
      </c>
      <c r="U35" s="75" t="n">
        <v>1e-08</v>
      </c>
      <c r="V35" s="77" t="inlineStr">
        <is>
          <t>S</t>
        </is>
      </c>
      <c r="W35" s="78" t="n"/>
      <c r="X35" s="79">
        <f>IF(B35="","",R35*S35*P_Mix/1000000+IF(P_Fab="Oui",T35,0))</f>
        <v>5.25026921492e-09</v>
      </c>
      <c r="Y35" s="80">
        <f>IF(B35="","",IF(W35&lt;&gt;"",W35,IF(AND(P_Source="Table fournie",U35&lt;&gt;""),U35,X35)))</f>
        <v>1e-08</v>
      </c>
      <c r="Z35" s="70" t="str">
        <f>IF(B35="","",IF(W35&lt;&gt;"","Forcé",IF(AND(P_Source="Table fournie",U35&lt;&gt;""),IF(V35="H","Table (hypothèse)","Table (sourcé)"),"Calculateur de Boris")))</f>
        <v>Table (sourcé)</v>
      </c>
    </row>
    <row r="36">
      <c r="B36" s="69" t="inlineStr">
        <is>
          <t>GPT-6 Sol</t>
        </is>
      </c>
      <c r="C36" s="69" t="inlineStr">
        <is>
          <t>OpenAI ≥ GPT-5.6</t>
        </is>
      </c>
      <c r="D36" s="69" t="n"/>
      <c r="E36" s="34" t="str">
        <f>IF(B36="","",IF(D36&lt;&gt;"",D36,IF('Contrôles'!$J$68&gt;0,"Exclusive",IF('Contrôles'!$U$68&lt;&gt;"",'Contrôles'!$U$68,IFERROR(INDEX(F_Conv,MATCH(C36,F_Fam,0)),"Inclusive")))))</f>
        <v>Inclusive</v>
      </c>
      <c r="F36" s="70" t="str">
        <f>IF(B36="","",IF(D36&lt;&gt;"","Forcée",IF('Contrôles'!$J$68&gt;0,"C2",IF('Contrôles'!$U$68&lt;&gt;"","C3","Défaut API"))))</f>
        <v>Défaut API</v>
      </c>
      <c r="G36" s="71">
        <f>IF(B36="","",IF(E36="Exclusive",0,1))</f>
        <v>1</v>
      </c>
      <c r="H36" s="71">
        <f>IF(B36="","",IF(E36="Inclusive",1,0))</f>
        <v>1</v>
      </c>
      <c r="I36" s="72" t="n">
        <v>2</v>
      </c>
      <c r="J36" s="72" t="n">
        <v>0.2</v>
      </c>
      <c r="K36" s="72" t="n">
        <v>2.5</v>
      </c>
      <c r="L36" s="72" t="n">
        <v>10</v>
      </c>
      <c r="M36" s="73" t="n"/>
      <c r="N36" s="74">
        <f>IF(B36="","",IF(N(L36)&gt;0,I36/L36,0.2))</f>
        <v>0.2</v>
      </c>
      <c r="O36" s="74">
        <f>IF(B36="","",IF(N(L36)&gt;0,J36/L36,0.02))</f>
        <v>0.02</v>
      </c>
      <c r="P36" s="74">
        <f>IF(B36="","",IF(N(L36)&gt;0,IF(K36="",I36,K36)/L36,0.25))</f>
        <v>0.25</v>
      </c>
      <c r="Q36" s="69" t="inlineStr">
        <is>
          <t>gpt-5.4 (proxy)</t>
        </is>
      </c>
      <c r="R36" s="75" t="n">
        <v>0.0017884687</v>
      </c>
      <c r="S36" s="76" t="n">
        <v>1.2</v>
      </c>
      <c r="T36" s="75" t="n">
        <v>5.090409e-08</v>
      </c>
      <c r="U36" s="75" t="n">
        <v>1e-08</v>
      </c>
      <c r="V36" s="77" t="inlineStr">
        <is>
          <t>H</t>
        </is>
      </c>
      <c r="W36" s="78" t="n"/>
      <c r="X36" s="79">
        <f>IF(B36="","",R36*S36*P_Mix/1000000+IF(P_Fab="Oui",T36,0))</f>
        <v>1.60572990684e-07</v>
      </c>
      <c r="Y36" s="80">
        <f>IF(B36="","",IF(W36&lt;&gt;"",W36,IF(AND(P_Source="Table fournie",U36&lt;&gt;""),U36,X36)))</f>
        <v>1e-08</v>
      </c>
      <c r="Z36" s="70" t="str">
        <f>IF(B36="","",IF(W36&lt;&gt;"","Forcé",IF(AND(P_Source="Table fournie",U36&lt;&gt;""),IF(V36="H","Table (hypothèse)","Table (sourcé)"),"Calculateur de Boris")))</f>
        <v>Table (hypothèse)</v>
      </c>
    </row>
    <row r="37">
      <c r="B37" s="69" t="inlineStr">
        <is>
          <t>GPT-6 Astra</t>
        </is>
      </c>
      <c r="C37" s="69" t="inlineStr">
        <is>
          <t>OpenAI ≥ GPT-5.6</t>
        </is>
      </c>
      <c r="D37" s="69" t="n"/>
      <c r="E37" s="34" t="str">
        <f>IF(B37="","",IF(D37&lt;&gt;"",D37,IF('Contrôles'!$J$69&gt;0,"Exclusive",IF('Contrôles'!$U$69&lt;&gt;"",'Contrôles'!$U$69,IFERROR(INDEX(F_Conv,MATCH(C37,F_Fam,0)),"Inclusive")))))</f>
        <v>Inclusive</v>
      </c>
      <c r="F37" s="70" t="str">
        <f>IF(B37="","",IF(D37&lt;&gt;"","Forcée",IF('Contrôles'!$J$69&gt;0,"C2",IF('Contrôles'!$U$69&lt;&gt;"","C3","Défaut API"))))</f>
        <v>Défaut API</v>
      </c>
      <c r="G37" s="71">
        <f>IF(B37="","",IF(E37="Exclusive",0,1))</f>
        <v>1</v>
      </c>
      <c r="H37" s="71">
        <f>IF(B37="","",IF(E37="Inclusive",1,0))</f>
        <v>1</v>
      </c>
      <c r="I37" s="72" t="n">
        <v>10</v>
      </c>
      <c r="J37" s="72" t="n">
        <v>1</v>
      </c>
      <c r="K37" s="72" t="n">
        <v>12.5</v>
      </c>
      <c r="L37" s="72" t="n">
        <v>50</v>
      </c>
      <c r="M37" s="73" t="n"/>
      <c r="N37" s="74">
        <f>IF(B37="","",IF(N(L37)&gt;0,I37/L37,0.2))</f>
        <v>0.2</v>
      </c>
      <c r="O37" s="74">
        <f>IF(B37="","",IF(N(L37)&gt;0,J37/L37,0.02))</f>
        <v>0.02</v>
      </c>
      <c r="P37" s="74">
        <f>IF(B37="","",IF(N(L37)&gt;0,IF(K37="",I37,K37)/L37,0.25))</f>
        <v>0.25</v>
      </c>
      <c r="Q37" s="69" t="inlineStr">
        <is>
          <t>gpt-5.5 (proxy)</t>
        </is>
      </c>
      <c r="R37" s="75" t="n">
        <v>0.0054568626</v>
      </c>
      <c r="S37" s="76" t="n">
        <v>1.2</v>
      </c>
      <c r="T37" s="75" t="n">
        <v>1.146602e-07</v>
      </c>
      <c r="U37" s="75" t="n">
        <v>1e-08</v>
      </c>
      <c r="V37" s="77" t="inlineStr">
        <is>
          <t>H</t>
        </is>
      </c>
      <c r="W37" s="78" t="n"/>
      <c r="X37" s="79">
        <f>IF(B37="","",R37*S37*P_Mix/1000000+IF(P_Fab="Oui",T37,0))</f>
        <v>4.49275014632e-07</v>
      </c>
      <c r="Y37" s="80">
        <f>IF(B37="","",IF(W37&lt;&gt;"",W37,IF(AND(P_Source="Table fournie",U37&lt;&gt;""),U37,X37)))</f>
        <v>1e-08</v>
      </c>
      <c r="Z37" s="70" t="str">
        <f>IF(B37="","",IF(W37&lt;&gt;"","Forcé",IF(AND(P_Source="Table fournie",U37&lt;&gt;""),IF(V37="H","Table (hypothèse)","Table (sourcé)"),"Calculateur de Boris")))</f>
        <v>Table (hypothèse)</v>
      </c>
    </row>
    <row r="38">
      <c r="B38" s="69" t="inlineStr">
        <is>
          <t>GPT-6.1 Sol</t>
        </is>
      </c>
      <c r="C38" s="69" t="inlineStr">
        <is>
          <t>OpenAI ≥ GPT-5.6</t>
        </is>
      </c>
      <c r="D38" s="69" t="n"/>
      <c r="E38" s="34" t="str">
        <f>IF(B38="","",IF(D38&lt;&gt;"",D38,IF('Contrôles'!$J$70&gt;0,"Exclusive",IF('Contrôles'!$U$70&lt;&gt;"",'Contrôles'!$U$70,IFERROR(INDEX(F_Conv,MATCH(C38,F_Fam,0)),"Inclusive")))))</f>
        <v>Inclusive</v>
      </c>
      <c r="F38" s="70" t="str">
        <f>IF(B38="","",IF(D38&lt;&gt;"","Forcée",IF('Contrôles'!$J$70&gt;0,"C2",IF('Contrôles'!$U$70&lt;&gt;"","C3","Défaut API"))))</f>
        <v>Défaut API</v>
      </c>
      <c r="G38" s="71">
        <f>IF(B38="","",IF(E38="Exclusive",0,1))</f>
        <v>1</v>
      </c>
      <c r="H38" s="71">
        <f>IF(B38="","",IF(E38="Inclusive",1,0))</f>
        <v>1</v>
      </c>
      <c r="I38" s="72" t="n">
        <v>2</v>
      </c>
      <c r="J38" s="72" t="n">
        <v>0.1</v>
      </c>
      <c r="K38" s="72" t="n">
        <v>2.5</v>
      </c>
      <c r="L38" s="72" t="n">
        <v>10</v>
      </c>
      <c r="M38" s="73" t="n"/>
      <c r="N38" s="74">
        <f>IF(B38="","",IF(N(L38)&gt;0,I38/L38,0.2))</f>
        <v>0.2</v>
      </c>
      <c r="O38" s="74">
        <f>IF(B38="","",IF(N(L38)&gt;0,J38/L38,0.02))</f>
        <v>0.01</v>
      </c>
      <c r="P38" s="74">
        <f>IF(B38="","",IF(N(L38)&gt;0,IF(K38="",I38,K38)/L38,0.25))</f>
        <v>0.25</v>
      </c>
      <c r="Q38" s="69" t="inlineStr">
        <is>
          <t>gpt-5.4 (proxy)</t>
        </is>
      </c>
      <c r="R38" s="75" t="n">
        <v>0.0017884687</v>
      </c>
      <c r="S38" s="76" t="n">
        <v>1.2</v>
      </c>
      <c r="T38" s="75" t="n">
        <v>5.090409e-08</v>
      </c>
      <c r="U38" s="75" t="n">
        <v>1e-08</v>
      </c>
      <c r="V38" s="77" t="inlineStr">
        <is>
          <t>H</t>
        </is>
      </c>
      <c r="W38" s="78" t="n"/>
      <c r="X38" s="79">
        <f>IF(B38="","",R38*S38*P_Mix/1000000+IF(P_Fab="Oui",T38,0))</f>
        <v>1.60572990684e-07</v>
      </c>
      <c r="Y38" s="80">
        <f>IF(B38="","",IF(W38&lt;&gt;"",W38,IF(AND(P_Source="Table fournie",U38&lt;&gt;""),U38,X38)))</f>
        <v>1e-08</v>
      </c>
      <c r="Z38" s="70" t="str">
        <f>IF(B38="","",IF(W38&lt;&gt;"","Forcé",IF(AND(P_Source="Table fournie",U38&lt;&gt;""),IF(V38="H","Table (hypothèse)","Table (sourcé)"),"Calculateur de Boris")))</f>
        <v>Table (hypothèse)</v>
      </c>
    </row>
    <row r="39">
      <c r="B39" s="69" t="inlineStr">
        <is>
          <t>GPT-5 mini</t>
        </is>
      </c>
      <c r="C39" s="69" t="inlineStr">
        <is>
          <t>OpenAI &lt; GPT-5.6</t>
        </is>
      </c>
      <c r="D39" s="69" t="n"/>
      <c r="E39" s="34" t="str">
        <f>IF(B39="","",IF(D39&lt;&gt;"",D39,IF('Contrôles'!$J$71&gt;0,"Exclusive",IF('Contrôles'!$U$71&lt;&gt;"",'Contrôles'!$U$71,IFERROR(INDEX(F_Conv,MATCH(C39,F_Fam,0)),"Inclusive")))))</f>
        <v>Inclusive</v>
      </c>
      <c r="F39" s="70" t="str">
        <f>IF(B39="","",IF(D39&lt;&gt;"","Forcée",IF('Contrôles'!$J$71&gt;0,"C2",IF('Contrôles'!$U$71&lt;&gt;"","C3","Défaut API"))))</f>
        <v>Défaut API</v>
      </c>
      <c r="G39" s="71">
        <f>IF(B39="","",IF(E39="Exclusive",0,1))</f>
        <v>1</v>
      </c>
      <c r="H39" s="71">
        <f>IF(B39="","",IF(E39="Inclusive",1,0))</f>
        <v>1</v>
      </c>
      <c r="I39" s="72" t="n">
        <v>0.25</v>
      </c>
      <c r="J39" s="72" t="n">
        <v>0.025</v>
      </c>
      <c r="K39" s="73" t="n"/>
      <c r="L39" s="72" t="n">
        <v>2</v>
      </c>
      <c r="M39" s="73" t="n"/>
      <c r="N39" s="74">
        <f>IF(B39="","",IF(N(L39)&gt;0,I39/L39,0.2))</f>
        <v>0.125</v>
      </c>
      <c r="O39" s="74">
        <f>IF(B39="","",IF(N(L39)&gt;0,J39/L39,0.02))</f>
        <v>0.0125</v>
      </c>
      <c r="P39" s="74">
        <f>IF(B39="","",IF(N(L39)&gt;0,IF(K39="",I39,K39)/L39,0.25))</f>
        <v>0.125</v>
      </c>
      <c r="Q39" s="69" t="inlineStr">
        <is>
          <t>gpt-5-mini</t>
        </is>
      </c>
      <c r="R39" s="75" t="n">
        <v>0.00037684316</v>
      </c>
      <c r="S39" s="76" t="n">
        <v>1.2</v>
      </c>
      <c r="T39" s="75" t="n">
        <v>1.229372e-08</v>
      </c>
      <c r="U39" s="75" t="n">
        <v>1.1039e-07</v>
      </c>
      <c r="V39" s="77" t="inlineStr">
        <is>
          <t>S</t>
        </is>
      </c>
      <c r="W39" s="78" t="n"/>
      <c r="X39" s="79">
        <f>IF(B39="","",R39*S39*P_Mix/1000000+IF(P_Fab="Oui",T39,0))</f>
        <v>3.54017425712e-08</v>
      </c>
      <c r="Y39" s="80">
        <f>IF(B39="","",IF(W39&lt;&gt;"",W39,IF(AND(P_Source="Table fournie",U39&lt;&gt;""),U39,X39)))</f>
        <v>1.1039e-07</v>
      </c>
      <c r="Z39" s="70" t="str">
        <f>IF(B39="","",IF(W39&lt;&gt;"","Forcé",IF(AND(P_Source="Table fournie",U39&lt;&gt;""),IF(V39="H","Table (hypothèse)","Table (sourcé)"),"Calculateur de Boris")))</f>
        <v>Table (sourcé)</v>
      </c>
    </row>
    <row r="40">
      <c r="B40" s="69" t="inlineStr">
        <is>
          <t>GPT-5.4 mini</t>
        </is>
      </c>
      <c r="C40" s="69" t="inlineStr">
        <is>
          <t>OpenAI &lt; GPT-5.6</t>
        </is>
      </c>
      <c r="D40" s="69" t="n"/>
      <c r="E40" s="34" t="str">
        <f>IF(B40="","",IF(D40&lt;&gt;"",D40,IF('Contrôles'!$J$72&gt;0,"Exclusive",IF('Contrôles'!$U$72&lt;&gt;"",'Contrôles'!$U$72,IFERROR(INDEX(F_Conv,MATCH(C40,F_Fam,0)),"Inclusive")))))</f>
        <v>Inclusive</v>
      </c>
      <c r="F40" s="70" t="str">
        <f>IF(B40="","",IF(D40&lt;&gt;"","Forcée",IF('Contrôles'!$J$72&gt;0,"C2",IF('Contrôles'!$U$72&lt;&gt;"","C3","Défaut API"))))</f>
        <v>Défaut API</v>
      </c>
      <c r="G40" s="71">
        <f>IF(B40="","",IF(E40="Exclusive",0,1))</f>
        <v>1</v>
      </c>
      <c r="H40" s="71">
        <f>IF(B40="","",IF(E40="Inclusive",1,0))</f>
        <v>1</v>
      </c>
      <c r="I40" s="72" t="n">
        <v>0.75</v>
      </c>
      <c r="J40" s="72" t="n">
        <v>0.075</v>
      </c>
      <c r="K40" s="73" t="n"/>
      <c r="L40" s="72" t="n">
        <v>4.5</v>
      </c>
      <c r="M40" s="73" t="n"/>
      <c r="N40" s="74">
        <f>IF(B40="","",IF(N(L40)&gt;0,I40/L40,0.2))</f>
        <v>0.166666666666667</v>
      </c>
      <c r="O40" s="74">
        <f>IF(B40="","",IF(N(L40)&gt;0,J40/L40,0.02))</f>
        <v>0.0166666666666667</v>
      </c>
      <c r="P40" s="74">
        <f>IF(B40="","",IF(N(L40)&gt;0,IF(K40="",I40,K40)/L40,0.25))</f>
        <v>0.166666666666667</v>
      </c>
      <c r="Q40" s="69" t="inlineStr">
        <is>
          <t>gpt-5-mini (proxy)</t>
        </is>
      </c>
      <c r="R40" s="75" t="n">
        <v>0.00037684316</v>
      </c>
      <c r="S40" s="76" t="n">
        <v>1.2</v>
      </c>
      <c r="T40" s="75" t="n">
        <v>1.229372e-08</v>
      </c>
      <c r="U40" s="75" t="n">
        <v>8.028e-08</v>
      </c>
      <c r="V40" s="77" t="inlineStr">
        <is>
          <t>H</t>
        </is>
      </c>
      <c r="W40" s="78" t="n"/>
      <c r="X40" s="79">
        <f>IF(B40="","",R40*S40*P_Mix/1000000+IF(P_Fab="Oui",T40,0))</f>
        <v>3.54017425712e-08</v>
      </c>
      <c r="Y40" s="80">
        <f>IF(B40="","",IF(W40&lt;&gt;"",W40,IF(AND(P_Source="Table fournie",U40&lt;&gt;""),U40,X40)))</f>
        <v>8.028e-08</v>
      </c>
      <c r="Z40" s="70" t="str">
        <f>IF(B40="","",IF(W40&lt;&gt;"","Forcé",IF(AND(P_Source="Table fournie",U40&lt;&gt;""),IF(V40="H","Table (hypothèse)","Table (sourcé)"),"Calculateur de Boris")))</f>
        <v>Table (hypothèse)</v>
      </c>
    </row>
    <row r="41">
      <c r="B41" s="69" t="inlineStr">
        <is>
          <t>GPT-5.4</t>
        </is>
      </c>
      <c r="C41" s="69" t="inlineStr">
        <is>
          <t>OpenAI &lt; GPT-5.6</t>
        </is>
      </c>
      <c r="D41" s="69" t="n"/>
      <c r="E41" s="34" t="str">
        <f>IF(B41="","",IF(D41&lt;&gt;"",D41,IF('Contrôles'!$J$73&gt;0,"Exclusive",IF('Contrôles'!$U$73&lt;&gt;"",'Contrôles'!$U$73,IFERROR(INDEX(F_Conv,MATCH(C41,F_Fam,0)),"Inclusive")))))</f>
        <v>Inclusive</v>
      </c>
      <c r="F41" s="70" t="str">
        <f>IF(B41="","",IF(D41&lt;&gt;"","Forcée",IF('Contrôles'!$J$73&gt;0,"C2",IF('Contrôles'!$U$73&lt;&gt;"","C3","Défaut API"))))</f>
        <v>Défaut API</v>
      </c>
      <c r="G41" s="71">
        <f>IF(B41="","",IF(E41="Exclusive",0,1))</f>
        <v>1</v>
      </c>
      <c r="H41" s="71">
        <f>IF(B41="","",IF(E41="Inclusive",1,0))</f>
        <v>1</v>
      </c>
      <c r="I41" s="72" t="n">
        <v>2.5</v>
      </c>
      <c r="J41" s="72" t="n">
        <v>0.25</v>
      </c>
      <c r="K41" s="73" t="n"/>
      <c r="L41" s="72" t="n">
        <v>15</v>
      </c>
      <c r="M41" s="73" t="n"/>
      <c r="N41" s="74">
        <f>IF(B41="","",IF(N(L41)&gt;0,I41/L41,0.2))</f>
        <v>0.166666666666667</v>
      </c>
      <c r="O41" s="74">
        <f>IF(B41="","",IF(N(L41)&gt;0,J41/L41,0.02))</f>
        <v>0.0166666666666667</v>
      </c>
      <c r="P41" s="74">
        <f>IF(B41="","",IF(N(L41)&gt;0,IF(K41="",I41,K41)/L41,0.25))</f>
        <v>0.166666666666667</v>
      </c>
      <c r="Q41" s="69" t="inlineStr">
        <is>
          <t>gpt-5.4</t>
        </is>
      </c>
      <c r="R41" s="75" t="n">
        <v>0.0017884687</v>
      </c>
      <c r="S41" s="76" t="n">
        <v>1.2</v>
      </c>
      <c r="T41" s="75" t="n">
        <v>5.090409e-08</v>
      </c>
      <c r="U41" s="75" t="n">
        <v>4.7e-07</v>
      </c>
      <c r="V41" s="77" t="inlineStr">
        <is>
          <t>S</t>
        </is>
      </c>
      <c r="W41" s="78" t="n"/>
      <c r="X41" s="79">
        <f>IF(B41="","",R41*S41*P_Mix/1000000+IF(P_Fab="Oui",T41,0))</f>
        <v>1.60572990684e-07</v>
      </c>
      <c r="Y41" s="80">
        <f>IF(B41="","",IF(W41&lt;&gt;"",W41,IF(AND(P_Source="Table fournie",U41&lt;&gt;""),U41,X41)))</f>
        <v>4.7e-07</v>
      </c>
      <c r="Z41" s="70" t="str">
        <f>IF(B41="","",IF(W41&lt;&gt;"","Forcé",IF(AND(P_Source="Table fournie",U41&lt;&gt;""),IF(V41="H","Table (hypothèse)","Table (sourcé)"),"Calculateur de Boris")))</f>
        <v>Table (sourcé)</v>
      </c>
    </row>
    <row r="42">
      <c r="B42" s="69" t="inlineStr">
        <is>
          <t>GPT-5.5</t>
        </is>
      </c>
      <c r="C42" s="69" t="inlineStr">
        <is>
          <t>OpenAI &lt; GPT-5.6</t>
        </is>
      </c>
      <c r="D42" s="69" t="n"/>
      <c r="E42" s="34" t="str">
        <f>IF(B42="","",IF(D42&lt;&gt;"",D42,IF('Contrôles'!$J$74&gt;0,"Exclusive",IF('Contrôles'!$U$74&lt;&gt;"",'Contrôles'!$U$74,IFERROR(INDEX(F_Conv,MATCH(C42,F_Fam,0)),"Inclusive")))))</f>
        <v>Inclusive</v>
      </c>
      <c r="F42" s="70" t="str">
        <f>IF(B42="","",IF(D42&lt;&gt;"","Forcée",IF('Contrôles'!$J$74&gt;0,"C2",IF('Contrôles'!$U$74&lt;&gt;"","C3","Défaut API"))))</f>
        <v>Défaut API</v>
      </c>
      <c r="G42" s="71">
        <f>IF(B42="","",IF(E42="Exclusive",0,1))</f>
        <v>1</v>
      </c>
      <c r="H42" s="71">
        <f>IF(B42="","",IF(E42="Inclusive",1,0))</f>
        <v>1</v>
      </c>
      <c r="I42" s="72" t="n">
        <v>5</v>
      </c>
      <c r="J42" s="72" t="n">
        <v>0.5</v>
      </c>
      <c r="K42" s="73" t="n"/>
      <c r="L42" s="72" t="n">
        <v>30</v>
      </c>
      <c r="M42" s="73" t="n"/>
      <c r="N42" s="74">
        <f>IF(B42="","",IF(N(L42)&gt;0,I42/L42,0.2))</f>
        <v>0.166666666666667</v>
      </c>
      <c r="O42" s="74">
        <f>IF(B42="","",IF(N(L42)&gt;0,J42/L42,0.02))</f>
        <v>0.0166666666666667</v>
      </c>
      <c r="P42" s="74">
        <f>IF(B42="","",IF(N(L42)&gt;0,IF(K42="",I42,K42)/L42,0.25))</f>
        <v>0.166666666666667</v>
      </c>
      <c r="Q42" s="69" t="inlineStr">
        <is>
          <t>gpt-5.5</t>
        </is>
      </c>
      <c r="R42" s="75" t="n">
        <v>0.0054568626</v>
      </c>
      <c r="S42" s="76" t="n">
        <v>1.2</v>
      </c>
      <c r="T42" s="75" t="n">
        <v>1.146602e-07</v>
      </c>
      <c r="U42" s="75" t="n">
        <v>1.42e-06</v>
      </c>
      <c r="V42" s="77" t="inlineStr">
        <is>
          <t>S</t>
        </is>
      </c>
      <c r="W42" s="78" t="n"/>
      <c r="X42" s="79">
        <f>IF(B42="","",R42*S42*P_Mix/1000000+IF(P_Fab="Oui",T42,0))</f>
        <v>4.49275014632e-07</v>
      </c>
      <c r="Y42" s="80">
        <f>IF(B42="","",IF(W42&lt;&gt;"",W42,IF(AND(P_Source="Table fournie",U42&lt;&gt;""),U42,X42)))</f>
        <v>1.42e-06</v>
      </c>
      <c r="Z42" s="70" t="str">
        <f>IF(B42="","",IF(W42&lt;&gt;"","Forcé",IF(AND(P_Source="Table fournie",U42&lt;&gt;""),IF(V42="H","Table (hypothèse)","Table (sourcé)"),"Calculateur de Boris")))</f>
        <v>Table (sourcé)</v>
      </c>
    </row>
    <row r="43">
      <c r="B43" s="69" t="inlineStr">
        <is>
          <t>Claude Haiku 4.5</t>
        </is>
      </c>
      <c r="C43" s="69" t="inlineStr">
        <is>
          <t>Anthropic</t>
        </is>
      </c>
      <c r="D43" s="69" t="n"/>
      <c r="E43" s="34" t="str">
        <f>IF(B43="","",IF(D43&lt;&gt;"",D43,IF('Contrôles'!$J$75&gt;0,"Exclusive",IF('Contrôles'!$U$75&lt;&gt;"",'Contrôles'!$U$75,IFERROR(INDEX(F_Conv,MATCH(C43,F_Fam,0)),"Inclusive")))))</f>
        <v>Exclusive</v>
      </c>
      <c r="F43" s="70" t="str">
        <f>IF(B43="","",IF(D43&lt;&gt;"","Forcée",IF('Contrôles'!$J$75&gt;0,"C2",IF('Contrôles'!$U$75&lt;&gt;"","C3","Défaut API"))))</f>
        <v>Défaut API</v>
      </c>
      <c r="G43" s="71">
        <f>IF(B43="","",IF(E43="Exclusive",0,1))</f>
        <v>0</v>
      </c>
      <c r="H43" s="71">
        <f>IF(B43="","",IF(E43="Inclusive",1,0))</f>
        <v>0</v>
      </c>
      <c r="I43" s="72" t="n">
        <v>1</v>
      </c>
      <c r="J43" s="72" t="n">
        <v>0.1</v>
      </c>
      <c r="K43" s="72" t="n">
        <v>1.25</v>
      </c>
      <c r="L43" s="72" t="n">
        <v>5</v>
      </c>
      <c r="M43" s="73" t="n"/>
      <c r="N43" s="74">
        <f>IF(B43="","",IF(N(L43)&gt;0,I43/L43,0.2))</f>
        <v>0.2</v>
      </c>
      <c r="O43" s="74">
        <f>IF(B43="","",IF(N(L43)&gt;0,J43/L43,0.02))</f>
        <v>0.02</v>
      </c>
      <c r="P43" s="74">
        <f>IF(B43="","",IF(N(L43)&gt;0,IF(K43="",I43,K43)/L43,0.25))</f>
        <v>0.25</v>
      </c>
      <c r="Q43" s="69" t="inlineStr">
        <is>
          <t>claude-haiku-4-5</t>
        </is>
      </c>
      <c r="R43" s="75" t="n">
        <v>6.1218155e-05</v>
      </c>
      <c r="S43" s="76" t="n">
        <v>1.2</v>
      </c>
      <c r="T43" s="75" t="n">
        <v>2.067979e-09</v>
      </c>
      <c r="U43" s="75" t="n">
        <v>1.8e-08</v>
      </c>
      <c r="V43" s="77" t="inlineStr">
        <is>
          <t>S</t>
        </is>
      </c>
      <c r="W43" s="78" t="n"/>
      <c r="X43" s="79">
        <f>IF(B43="","",R43*S43*P_Mix/1000000+IF(P_Fab="Oui",T43,0))</f>
        <v>5.8218762646e-09</v>
      </c>
      <c r="Y43" s="80">
        <f>IF(B43="","",IF(W43&lt;&gt;"",W43,IF(AND(P_Source="Table fournie",U43&lt;&gt;""),U43,X43)))</f>
        <v>1.8e-08</v>
      </c>
      <c r="Z43" s="70" t="str">
        <f>IF(B43="","",IF(W43&lt;&gt;"","Forcé",IF(AND(P_Source="Table fournie",U43&lt;&gt;""),IF(V43="H","Table (hypothèse)","Table (sourcé)"),"Calculateur de Boris")))</f>
        <v>Table (sourcé)</v>
      </c>
    </row>
    <row r="44">
      <c r="B44" s="69" t="inlineStr">
        <is>
          <t>Claude Haiku 5.5</t>
        </is>
      </c>
      <c r="C44" s="69" t="inlineStr">
        <is>
          <t>Anthropic</t>
        </is>
      </c>
      <c r="D44" s="69" t="n"/>
      <c r="E44" s="34" t="str">
        <f>IF(B44="","",IF(D44&lt;&gt;"",D44,IF('Contrôles'!$J$76&gt;0,"Exclusive",IF('Contrôles'!$U$76&lt;&gt;"",'Contrôles'!$U$76,IFERROR(INDEX(F_Conv,MATCH(C44,F_Fam,0)),"Inclusive")))))</f>
        <v>Exclusive</v>
      </c>
      <c r="F44" s="70" t="str">
        <f>IF(B44="","",IF(D44&lt;&gt;"","Forcée",IF('Contrôles'!$J$76&gt;0,"C2",IF('Contrôles'!$U$76&lt;&gt;"","C3","Défaut API"))))</f>
        <v>Défaut API</v>
      </c>
      <c r="G44" s="71">
        <f>IF(B44="","",IF(E44="Exclusive",0,1))</f>
        <v>0</v>
      </c>
      <c r="H44" s="71">
        <f>IF(B44="","",IF(E44="Inclusive",1,0))</f>
        <v>0</v>
      </c>
      <c r="I44" s="72" t="n">
        <v>0.1</v>
      </c>
      <c r="J44" s="72" t="n">
        <v>0.01</v>
      </c>
      <c r="K44" s="72" t="n">
        <v>0.125</v>
      </c>
      <c r="L44" s="72" t="n">
        <v>0.5</v>
      </c>
      <c r="M44" s="73" t="n"/>
      <c r="N44" s="74">
        <f>IF(B44="","",IF(N(L44)&gt;0,I44/L44,0.2))</f>
        <v>0.2</v>
      </c>
      <c r="O44" s="74">
        <f>IF(B44="","",IF(N(L44)&gt;0,J44/L44,0.02))</f>
        <v>0.02</v>
      </c>
      <c r="P44" s="74">
        <f>IF(B44="","",IF(N(L44)&gt;0,IF(K44="",I44,K44)/L44,0.25))</f>
        <v>0.25</v>
      </c>
      <c r="Q44" s="69" t="inlineStr">
        <is>
          <t>claude-haiku-4-5 (proxy)</t>
        </is>
      </c>
      <c r="R44" s="75" t="n">
        <v>6.1218155e-05</v>
      </c>
      <c r="S44" s="76" t="n">
        <v>1.2</v>
      </c>
      <c r="T44" s="75" t="n">
        <v>2.067979e-09</v>
      </c>
      <c r="U44" s="75" t="n">
        <v>1.8e-08</v>
      </c>
      <c r="V44" s="77" t="inlineStr">
        <is>
          <t>H</t>
        </is>
      </c>
      <c r="W44" s="78" t="n"/>
      <c r="X44" s="79">
        <f>IF(B44="","",R44*S44*P_Mix/1000000+IF(P_Fab="Oui",T44,0))</f>
        <v>5.8218762646e-09</v>
      </c>
      <c r="Y44" s="80">
        <f>IF(B44="","",IF(W44&lt;&gt;"",W44,IF(AND(P_Source="Table fournie",U44&lt;&gt;""),U44,X44)))</f>
        <v>1.8e-08</v>
      </c>
      <c r="Z44" s="70" t="str">
        <f>IF(B44="","",IF(W44&lt;&gt;"","Forcé",IF(AND(P_Source="Table fournie",U44&lt;&gt;""),IF(V44="H","Table (hypothèse)","Table (sourcé)"),"Calculateur de Boris")))</f>
        <v>Table (hypothèse)</v>
      </c>
    </row>
    <row r="45">
      <c r="B45" s="69" t="inlineStr">
        <is>
          <t>Claude Sonnet 4</t>
        </is>
      </c>
      <c r="C45" s="69" t="inlineStr">
        <is>
          <t>Anthropic</t>
        </is>
      </c>
      <c r="D45" s="69" t="n"/>
      <c r="E45" s="34" t="str">
        <f>IF(B45="","",IF(D45&lt;&gt;"",D45,IF('Contrôles'!$J$77&gt;0,"Exclusive",IF('Contrôles'!$U$77&lt;&gt;"",'Contrôles'!$U$77,IFERROR(INDEX(F_Conv,MATCH(C45,F_Fam,0)),"Inclusive")))))</f>
        <v>Exclusive</v>
      </c>
      <c r="F45" s="70" t="str">
        <f>IF(B45="","",IF(D45&lt;&gt;"","Forcée",IF('Contrôles'!$J$77&gt;0,"C2",IF('Contrôles'!$U$77&lt;&gt;"","C3","Défaut API"))))</f>
        <v>Défaut API</v>
      </c>
      <c r="G45" s="71">
        <f>IF(B45="","",IF(E45="Exclusive",0,1))</f>
        <v>0</v>
      </c>
      <c r="H45" s="71">
        <f>IF(B45="","",IF(E45="Inclusive",1,0))</f>
        <v>0</v>
      </c>
      <c r="I45" s="72" t="n">
        <v>3</v>
      </c>
      <c r="J45" s="72" t="n">
        <v>0.3</v>
      </c>
      <c r="K45" s="72" t="n">
        <v>3.75</v>
      </c>
      <c r="L45" s="72" t="n">
        <v>15</v>
      </c>
      <c r="M45" s="73" t="n"/>
      <c r="N45" s="74">
        <f>IF(B45="","",IF(N(L45)&gt;0,I45/L45,0.2))</f>
        <v>0.2</v>
      </c>
      <c r="O45" s="74">
        <f>IF(B45="","",IF(N(L45)&gt;0,J45/L45,0.02))</f>
        <v>0.02</v>
      </c>
      <c r="P45" s="74">
        <f>IF(B45="","",IF(N(L45)&gt;0,IF(K45="",I45,K45)/L45,0.25))</f>
        <v>0.25</v>
      </c>
      <c r="Q45" s="69" t="inlineStr">
        <is>
          <t>claude-sonnet-4</t>
        </is>
      </c>
      <c r="R45" s="75" t="n">
        <v>0.0016896666</v>
      </c>
      <c r="S45" s="76" t="n">
        <v>1.2</v>
      </c>
      <c r="T45" s="75" t="n">
        <v>5.324451e-08</v>
      </c>
      <c r="U45" s="75" t="n">
        <v>4.9308e-07</v>
      </c>
      <c r="V45" s="77" t="inlineStr">
        <is>
          <t>S</t>
        </is>
      </c>
      <c r="W45" s="78" t="n"/>
      <c r="X45" s="79">
        <f>IF(B45="","",R45*S45*P_Mix/1000000+IF(P_Fab="Oui",T45,0))</f>
        <v>1.56854865912e-07</v>
      </c>
      <c r="Y45" s="80">
        <f>IF(B45="","",IF(W45&lt;&gt;"",W45,IF(AND(P_Source="Table fournie",U45&lt;&gt;""),U45,X45)))</f>
        <v>4.9308e-07</v>
      </c>
      <c r="Z45" s="70" t="str">
        <f>IF(B45="","",IF(W45&lt;&gt;"","Forcé",IF(AND(P_Source="Table fournie",U45&lt;&gt;""),IF(V45="H","Table (hypothèse)","Table (sourcé)"),"Calculateur de Boris")))</f>
        <v>Table (sourcé)</v>
      </c>
    </row>
    <row r="46">
      <c r="B46" s="69" t="inlineStr">
        <is>
          <t>Claude Sonnet 4.6</t>
        </is>
      </c>
      <c r="C46" s="69" t="inlineStr">
        <is>
          <t>Anthropic</t>
        </is>
      </c>
      <c r="D46" s="69" t="n"/>
      <c r="E46" s="34" t="str">
        <f>IF(B46="","",IF(D46&lt;&gt;"",D46,IF('Contrôles'!$J$78&gt;0,"Exclusive",IF('Contrôles'!$U$78&lt;&gt;"",'Contrôles'!$U$78,IFERROR(INDEX(F_Conv,MATCH(C46,F_Fam,0)),"Inclusive")))))</f>
        <v>Exclusive</v>
      </c>
      <c r="F46" s="70" t="str">
        <f>IF(B46="","",IF(D46&lt;&gt;"","Forcée",IF('Contrôles'!$J$78&gt;0,"C2",IF('Contrôles'!$U$78&lt;&gt;"","C3","Défaut API"))))</f>
        <v>Défaut API</v>
      </c>
      <c r="G46" s="71">
        <f>IF(B46="","",IF(E46="Exclusive",0,1))</f>
        <v>0</v>
      </c>
      <c r="H46" s="71">
        <f>IF(B46="","",IF(E46="Inclusive",1,0))</f>
        <v>0</v>
      </c>
      <c r="I46" s="72" t="n">
        <v>3</v>
      </c>
      <c r="J46" s="72" t="n">
        <v>0.3</v>
      </c>
      <c r="K46" s="72" t="n">
        <v>3.75</v>
      </c>
      <c r="L46" s="72" t="n">
        <v>15</v>
      </c>
      <c r="M46" s="73" t="n"/>
      <c r="N46" s="74">
        <f>IF(B46="","",IF(N(L46)&gt;0,I46/L46,0.2))</f>
        <v>0.2</v>
      </c>
      <c r="O46" s="74">
        <f>IF(B46="","",IF(N(L46)&gt;0,J46/L46,0.02))</f>
        <v>0.02</v>
      </c>
      <c r="P46" s="74">
        <f>IF(B46="","",IF(N(L46)&gt;0,IF(K46="",I46,K46)/L46,0.25))</f>
        <v>0.25</v>
      </c>
      <c r="Q46" s="69" t="inlineStr">
        <is>
          <t>claude-sonnet-4-6</t>
        </is>
      </c>
      <c r="R46" s="75" t="n">
        <v>0.0017018133</v>
      </c>
      <c r="S46" s="76" t="n">
        <v>1.2</v>
      </c>
      <c r="T46" s="75" t="n">
        <v>5.594532e-08</v>
      </c>
      <c r="U46" s="75" t="n">
        <v>4.4e-07</v>
      </c>
      <c r="V46" s="77" t="inlineStr">
        <is>
          <t>S</t>
        </is>
      </c>
      <c r="W46" s="78" t="n"/>
      <c r="X46" s="79">
        <f>IF(B46="","",R46*S46*P_Mix/1000000+IF(P_Fab="Oui",T46,0))</f>
        <v>1.60300511556e-07</v>
      </c>
      <c r="Y46" s="80">
        <f>IF(B46="","",IF(W46&lt;&gt;"",W46,IF(AND(P_Source="Table fournie",U46&lt;&gt;""),U46,X46)))</f>
        <v>4.4e-07</v>
      </c>
      <c r="Z46" s="70" t="str">
        <f>IF(B46="","",IF(W46&lt;&gt;"","Forcé",IF(AND(P_Source="Table fournie",U46&lt;&gt;""),IF(V46="H","Table (hypothèse)","Table (sourcé)"),"Calculateur de Boris")))</f>
        <v>Table (sourcé)</v>
      </c>
    </row>
    <row r="47">
      <c r="B47" s="69" t="inlineStr">
        <is>
          <t>Claude Sonnet 5</t>
        </is>
      </c>
      <c r="C47" s="69" t="inlineStr">
        <is>
          <t>Anthropic</t>
        </is>
      </c>
      <c r="D47" s="69" t="n"/>
      <c r="E47" s="34" t="str">
        <f>IF(B47="","",IF(D47&lt;&gt;"",D47,IF('Contrôles'!$J$79&gt;0,"Exclusive",IF('Contrôles'!$U$79&lt;&gt;"",'Contrôles'!$U$79,IFERROR(INDEX(F_Conv,MATCH(C47,F_Fam,0)),"Inclusive")))))</f>
        <v>Exclusive</v>
      </c>
      <c r="F47" s="70" t="str">
        <f>IF(B47="","",IF(D47&lt;&gt;"","Forcée",IF('Contrôles'!$J$79&gt;0,"C2",IF('Contrôles'!$U$79&lt;&gt;"","C3","Défaut API"))))</f>
        <v>Défaut API</v>
      </c>
      <c r="G47" s="71">
        <f>IF(B47="","",IF(E47="Exclusive",0,1))</f>
        <v>0</v>
      </c>
      <c r="H47" s="71">
        <f>IF(B47="","",IF(E47="Inclusive",1,0))</f>
        <v>0</v>
      </c>
      <c r="I47" s="72" t="n">
        <v>2</v>
      </c>
      <c r="J47" s="72" t="n">
        <v>0.2</v>
      </c>
      <c r="K47" s="72" t="n">
        <v>2.5</v>
      </c>
      <c r="L47" s="72" t="n">
        <v>10</v>
      </c>
      <c r="M47" s="73" t="n"/>
      <c r="N47" s="74">
        <f>IF(B47="","",IF(N(L47)&gt;0,I47/L47,0.2))</f>
        <v>0.2</v>
      </c>
      <c r="O47" s="74">
        <f>IF(B47="","",IF(N(L47)&gt;0,J47/L47,0.02))</f>
        <v>0.02</v>
      </c>
      <c r="P47" s="74">
        <f>IF(B47="","",IF(N(L47)&gt;0,IF(K47="",I47,K47)/L47,0.25))</f>
        <v>0.25</v>
      </c>
      <c r="Q47" s="69" t="inlineStr">
        <is>
          <t>claude-sonnet-4-6 (proxy)</t>
        </is>
      </c>
      <c r="R47" s="75" t="n">
        <v>0.0017018133</v>
      </c>
      <c r="S47" s="76" t="n">
        <v>1.2</v>
      </c>
      <c r="T47" s="75" t="n">
        <v>5.594532e-08</v>
      </c>
      <c r="U47" s="75" t="n">
        <v>4.4e-07</v>
      </c>
      <c r="V47" s="77" t="inlineStr">
        <is>
          <t>H</t>
        </is>
      </c>
      <c r="W47" s="78" t="n"/>
      <c r="X47" s="79">
        <f>IF(B47="","",R47*S47*P_Mix/1000000+IF(P_Fab="Oui",T47,0))</f>
        <v>1.60300511556e-07</v>
      </c>
      <c r="Y47" s="80">
        <f>IF(B47="","",IF(W47&lt;&gt;"",W47,IF(AND(P_Source="Table fournie",U47&lt;&gt;""),U47,X47)))</f>
        <v>4.4e-07</v>
      </c>
      <c r="Z47" s="70" t="str">
        <f>IF(B47="","",IF(W47&lt;&gt;"","Forcé",IF(AND(P_Source="Table fournie",U47&lt;&gt;""),IF(V47="H","Table (hypothèse)","Table (sourcé)"),"Calculateur de Boris")))</f>
        <v>Table (hypothèse)</v>
      </c>
    </row>
    <row r="48">
      <c r="B48" s="69" t="inlineStr">
        <is>
          <t>Claude Sonnet 5.5</t>
        </is>
      </c>
      <c r="C48" s="69" t="inlineStr">
        <is>
          <t>Anthropic</t>
        </is>
      </c>
      <c r="D48" s="69" t="n"/>
      <c r="E48" s="34" t="str">
        <f>IF(B48="","",IF(D48&lt;&gt;"",D48,IF('Contrôles'!$J$80&gt;0,"Exclusive",IF('Contrôles'!$U$80&lt;&gt;"",'Contrôles'!$U$80,IFERROR(INDEX(F_Conv,MATCH(C48,F_Fam,0)),"Inclusive")))))</f>
        <v>Exclusive</v>
      </c>
      <c r="F48" s="70" t="str">
        <f>IF(B48="","",IF(D48&lt;&gt;"","Forcée",IF('Contrôles'!$J$80&gt;0,"C2",IF('Contrôles'!$U$80&lt;&gt;"","C3","Défaut API"))))</f>
        <v>Défaut API</v>
      </c>
      <c r="G48" s="71">
        <f>IF(B48="","",IF(E48="Exclusive",0,1))</f>
        <v>0</v>
      </c>
      <c r="H48" s="71">
        <f>IF(B48="","",IF(E48="Inclusive",1,0))</f>
        <v>0</v>
      </c>
      <c r="I48" s="72" t="n">
        <v>2</v>
      </c>
      <c r="J48" s="72" t="n">
        <v>0.1</v>
      </c>
      <c r="K48" s="72" t="n">
        <v>2.5</v>
      </c>
      <c r="L48" s="72" t="n">
        <v>10</v>
      </c>
      <c r="M48" s="73" t="n"/>
      <c r="N48" s="74">
        <f>IF(B48="","",IF(N(L48)&gt;0,I48/L48,0.2))</f>
        <v>0.2</v>
      </c>
      <c r="O48" s="74">
        <f>IF(B48="","",IF(N(L48)&gt;0,J48/L48,0.02))</f>
        <v>0.01</v>
      </c>
      <c r="P48" s="74">
        <f>IF(B48="","",IF(N(L48)&gt;0,IF(K48="",I48,K48)/L48,0.25))</f>
        <v>0.25</v>
      </c>
      <c r="Q48" s="69" t="inlineStr">
        <is>
          <t>claude-sonnet-4-6 (proxy)</t>
        </is>
      </c>
      <c r="R48" s="75" t="n">
        <v>0.0017018133</v>
      </c>
      <c r="S48" s="76" t="n">
        <v>1.2</v>
      </c>
      <c r="T48" s="75" t="n">
        <v>5.594532e-08</v>
      </c>
      <c r="U48" s="75" t="n">
        <v>4.4e-07</v>
      </c>
      <c r="V48" s="77" t="inlineStr">
        <is>
          <t>H</t>
        </is>
      </c>
      <c r="W48" s="78" t="n"/>
      <c r="X48" s="79">
        <f>IF(B48="","",R48*S48*P_Mix/1000000+IF(P_Fab="Oui",T48,0))</f>
        <v>1.60300511556e-07</v>
      </c>
      <c r="Y48" s="80">
        <f>IF(B48="","",IF(W48&lt;&gt;"",W48,IF(AND(P_Source="Table fournie",U48&lt;&gt;""),U48,X48)))</f>
        <v>4.4e-07</v>
      </c>
      <c r="Z48" s="70" t="str">
        <f>IF(B48="","",IF(W48&lt;&gt;"","Forcé",IF(AND(P_Source="Table fournie",U48&lt;&gt;""),IF(V48="H","Table (hypothèse)","Table (sourcé)"),"Calculateur de Boris")))</f>
        <v>Table (hypothèse)</v>
      </c>
    </row>
    <row r="49">
      <c r="B49" s="69" t="inlineStr">
        <is>
          <t>Claude Sonnet 5.5 [ancien tarif]</t>
        </is>
      </c>
      <c r="C49" s="69" t="inlineStr">
        <is>
          <t>Anthropic</t>
        </is>
      </c>
      <c r="D49" s="69" t="n"/>
      <c r="E49" s="34" t="str">
        <f>IF(B49="","",IF(D49&lt;&gt;"",D49,IF('Contrôles'!$J$81&gt;0,"Exclusive",IF('Contrôles'!$U$81&lt;&gt;"",'Contrôles'!$U$81,IFERROR(INDEX(F_Conv,MATCH(C49,F_Fam,0)),"Inclusive")))))</f>
        <v>Exclusive</v>
      </c>
      <c r="F49" s="70" t="str">
        <f>IF(B49="","",IF(D49&lt;&gt;"","Forcée",IF('Contrôles'!$J$81&gt;0,"C2",IF('Contrôles'!$U$81&lt;&gt;"","C3","Défaut API"))))</f>
        <v>Défaut API</v>
      </c>
      <c r="G49" s="71">
        <f>IF(B49="","",IF(E49="Exclusive",0,1))</f>
        <v>0</v>
      </c>
      <c r="H49" s="71">
        <f>IF(B49="","",IF(E49="Inclusive",1,0))</f>
        <v>0</v>
      </c>
      <c r="I49" s="72" t="n">
        <v>2</v>
      </c>
      <c r="J49" s="72" t="n">
        <v>0.2</v>
      </c>
      <c r="K49" s="72" t="n">
        <v>2.5</v>
      </c>
      <c r="L49" s="72" t="n">
        <v>10</v>
      </c>
      <c r="M49" s="81" t="n">
        <v>46296</v>
      </c>
      <c r="N49" s="74">
        <f>IF(B49="","",IF(N(L49)&gt;0,I49/L49,0.2))</f>
        <v>0.2</v>
      </c>
      <c r="O49" s="74">
        <f>IF(B49="","",IF(N(L49)&gt;0,J49/L49,0.02))</f>
        <v>0.02</v>
      </c>
      <c r="P49" s="74">
        <f>IF(B49="","",IF(N(L49)&gt;0,IF(K49="",I49,K49)/L49,0.25))</f>
        <v>0.25</v>
      </c>
      <c r="Q49" s="69" t="inlineStr">
        <is>
          <t>claude-sonnet-4-6 (proxy)</t>
        </is>
      </c>
      <c r="R49" s="75" t="n">
        <v>0.0017018133</v>
      </c>
      <c r="S49" s="76" t="n">
        <v>1.2</v>
      </c>
      <c r="T49" s="75" t="n">
        <v>5.594532e-08</v>
      </c>
      <c r="U49" s="75" t="n">
        <v>4.4e-07</v>
      </c>
      <c r="V49" s="77" t="inlineStr">
        <is>
          <t>H</t>
        </is>
      </c>
      <c r="W49" s="78" t="n"/>
      <c r="X49" s="79">
        <f>IF(B49="","",R49*S49*P_Mix/1000000+IF(P_Fab="Oui",T49,0))</f>
        <v>1.60300511556e-07</v>
      </c>
      <c r="Y49" s="80">
        <f>IF(B49="","",IF(W49&lt;&gt;"",W49,IF(AND(P_Source="Table fournie",U49&lt;&gt;""),U49,X49)))</f>
        <v>4.4e-07</v>
      </c>
      <c r="Z49" s="70" t="str">
        <f>IF(B49="","",IF(W49&lt;&gt;"","Forcé",IF(AND(P_Source="Table fournie",U49&lt;&gt;""),IF(V49="H","Table (hypothèse)","Table (sourcé)"),"Calculateur de Boris")))</f>
        <v>Table (hypothèse)</v>
      </c>
    </row>
    <row r="50">
      <c r="B50" s="69" t="inlineStr">
        <is>
          <t>Claude Opus 4.8</t>
        </is>
      </c>
      <c r="C50" s="69" t="inlineStr">
        <is>
          <t>Anthropic</t>
        </is>
      </c>
      <c r="D50" s="69" t="n"/>
      <c r="E50" s="34" t="str">
        <f>IF(B50="","",IF(D50&lt;&gt;"",D50,IF('Contrôles'!$J$82&gt;0,"Exclusive",IF('Contrôles'!$U$82&lt;&gt;"",'Contrôles'!$U$82,IFERROR(INDEX(F_Conv,MATCH(C50,F_Fam,0)),"Inclusive")))))</f>
        <v>Exclusive</v>
      </c>
      <c r="F50" s="70" t="str">
        <f>IF(B50="","",IF(D50&lt;&gt;"","Forcée",IF('Contrôles'!$J$82&gt;0,"C2",IF('Contrôles'!$U$82&lt;&gt;"","C3","Défaut API"))))</f>
        <v>Défaut API</v>
      </c>
      <c r="G50" s="71">
        <f>IF(B50="","",IF(E50="Exclusive",0,1))</f>
        <v>0</v>
      </c>
      <c r="H50" s="71">
        <f>IF(B50="","",IF(E50="Inclusive",1,0))</f>
        <v>0</v>
      </c>
      <c r="I50" s="72" t="n">
        <v>5</v>
      </c>
      <c r="J50" s="72" t="n">
        <v>0.5</v>
      </c>
      <c r="K50" s="72" t="n">
        <v>6.25</v>
      </c>
      <c r="L50" s="72" t="n">
        <v>25</v>
      </c>
      <c r="M50" s="73" t="n"/>
      <c r="N50" s="74">
        <f>IF(B50="","",IF(N(L50)&gt;0,I50/L50,0.2))</f>
        <v>0.2</v>
      </c>
      <c r="O50" s="74">
        <f>IF(B50="","",IF(N(L50)&gt;0,J50/L50,0.02))</f>
        <v>0.02</v>
      </c>
      <c r="P50" s="74">
        <f>IF(B50="","",IF(N(L50)&gt;0,IF(K50="",I50,K50)/L50,0.25))</f>
        <v>0.25</v>
      </c>
      <c r="Q50" s="69" t="inlineStr">
        <is>
          <t>claude-opus-4-8</t>
        </is>
      </c>
      <c r="R50" s="75" t="n">
        <v>0.0040886684</v>
      </c>
      <c r="S50" s="76" t="n">
        <v>1.2</v>
      </c>
      <c r="T50" s="75" t="n">
        <v>7.986676e-08</v>
      </c>
      <c r="U50" s="75" t="n">
        <v>1.06e-06</v>
      </c>
      <c r="V50" s="77" t="inlineStr">
        <is>
          <t>S</t>
        </is>
      </c>
      <c r="W50" s="78" t="n"/>
      <c r="X50" s="79">
        <f>IF(B50="","",R50*S50*P_Mix/1000000+IF(P_Fab="Oui",T50,0))</f>
        <v>3.30583906288e-07</v>
      </c>
      <c r="Y50" s="80">
        <f>IF(B50="","",IF(W50&lt;&gt;"",W50,IF(AND(P_Source="Table fournie",U50&lt;&gt;""),U50,X50)))</f>
        <v>1.06e-06</v>
      </c>
      <c r="Z50" s="70" t="str">
        <f>IF(B50="","",IF(W50&lt;&gt;"","Forcé",IF(AND(P_Source="Table fournie",U50&lt;&gt;""),IF(V50="H","Table (hypothèse)","Table (sourcé)"),"Calculateur de Boris")))</f>
        <v>Table (sourcé)</v>
      </c>
    </row>
    <row r="51">
      <c r="B51" s="69" t="inlineStr">
        <is>
          <t>Claude Opus 4.8 (fast mode)</t>
        </is>
      </c>
      <c r="C51" s="69" t="inlineStr">
        <is>
          <t>Anthropic</t>
        </is>
      </c>
      <c r="D51" s="69" t="n"/>
      <c r="E51" s="34" t="str">
        <f>IF(B51="","",IF(D51&lt;&gt;"",D51,IF('Contrôles'!$J$83&gt;0,"Exclusive",IF('Contrôles'!$U$83&lt;&gt;"",'Contrôles'!$U$83,IFERROR(INDEX(F_Conv,MATCH(C51,F_Fam,0)),"Inclusive")))))</f>
        <v>Exclusive</v>
      </c>
      <c r="F51" s="70" t="str">
        <f>IF(B51="","",IF(D51&lt;&gt;"","Forcée",IF('Contrôles'!$J$83&gt;0,"C2",IF('Contrôles'!$U$83&lt;&gt;"","C3","Défaut API"))))</f>
        <v>Défaut API</v>
      </c>
      <c r="G51" s="71">
        <f>IF(B51="","",IF(E51="Exclusive",0,1))</f>
        <v>0</v>
      </c>
      <c r="H51" s="71">
        <f>IF(B51="","",IF(E51="Inclusive",1,0))</f>
        <v>0</v>
      </c>
      <c r="I51" s="72" t="n">
        <v>10</v>
      </c>
      <c r="J51" s="72" t="n">
        <v>1</v>
      </c>
      <c r="K51" s="72" t="n">
        <v>12.5</v>
      </c>
      <c r="L51" s="72" t="n">
        <v>50</v>
      </c>
      <c r="M51" s="73" t="n"/>
      <c r="N51" s="74">
        <f>IF(B51="","",IF(N(L51)&gt;0,I51/L51,0.2))</f>
        <v>0.2</v>
      </c>
      <c r="O51" s="74">
        <f>IF(B51="","",IF(N(L51)&gt;0,J51/L51,0.02))</f>
        <v>0.02</v>
      </c>
      <c r="P51" s="74">
        <f>IF(B51="","",IF(N(L51)&gt;0,IF(K51="",I51,K51)/L51,0.25))</f>
        <v>0.25</v>
      </c>
      <c r="Q51" s="69" t="inlineStr">
        <is>
          <t>claude-opus-4-8 (proxy)</t>
        </is>
      </c>
      <c r="R51" s="75" t="n">
        <v>0.0040886684</v>
      </c>
      <c r="S51" s="76" t="n">
        <v>1.2</v>
      </c>
      <c r="T51" s="75" t="n">
        <v>7.986676e-08</v>
      </c>
      <c r="U51" s="75" t="n">
        <v>1.06e-06</v>
      </c>
      <c r="V51" s="77" t="inlineStr">
        <is>
          <t>H</t>
        </is>
      </c>
      <c r="W51" s="78" t="n"/>
      <c r="X51" s="79">
        <f>IF(B51="","",R51*S51*P_Mix/1000000+IF(P_Fab="Oui",T51,0))</f>
        <v>3.30583906288e-07</v>
      </c>
      <c r="Y51" s="80">
        <f>IF(B51="","",IF(W51&lt;&gt;"",W51,IF(AND(P_Source="Table fournie",U51&lt;&gt;""),U51,X51)))</f>
        <v>1.06e-06</v>
      </c>
      <c r="Z51" s="70" t="str">
        <f>IF(B51="","",IF(W51&lt;&gt;"","Forcé",IF(AND(P_Source="Table fournie",U51&lt;&gt;""),IF(V51="H","Table (hypothèse)","Table (sourcé)"),"Calculateur de Boris")))</f>
        <v>Table (hypothèse)</v>
      </c>
    </row>
    <row r="52">
      <c r="B52" s="69" t="inlineStr">
        <is>
          <t>Claude Opus 5</t>
        </is>
      </c>
      <c r="C52" s="69" t="inlineStr">
        <is>
          <t>Anthropic</t>
        </is>
      </c>
      <c r="D52" s="69" t="n"/>
      <c r="E52" s="34" t="str">
        <f>IF(B52="","",IF(D52&lt;&gt;"",D52,IF('Contrôles'!$J$84&gt;0,"Exclusive",IF('Contrôles'!$U$84&lt;&gt;"",'Contrôles'!$U$84,IFERROR(INDEX(F_Conv,MATCH(C52,F_Fam,0)),"Inclusive")))))</f>
        <v>Exclusive</v>
      </c>
      <c r="F52" s="70" t="str">
        <f>IF(B52="","",IF(D52&lt;&gt;"","Forcée",IF('Contrôles'!$J$84&gt;0,"C2",IF('Contrôles'!$U$84&lt;&gt;"","C3","Défaut API"))))</f>
        <v>Défaut API</v>
      </c>
      <c r="G52" s="71">
        <f>IF(B52="","",IF(E52="Exclusive",0,1))</f>
        <v>0</v>
      </c>
      <c r="H52" s="71">
        <f>IF(B52="","",IF(E52="Inclusive",1,0))</f>
        <v>0</v>
      </c>
      <c r="I52" s="72" t="n">
        <v>5</v>
      </c>
      <c r="J52" s="72" t="n">
        <v>0.5</v>
      </c>
      <c r="K52" s="72" t="n">
        <v>6.25</v>
      </c>
      <c r="L52" s="72" t="n">
        <v>25</v>
      </c>
      <c r="M52" s="73" t="n"/>
      <c r="N52" s="74">
        <f>IF(B52="","",IF(N(L52)&gt;0,I52/L52,0.2))</f>
        <v>0.2</v>
      </c>
      <c r="O52" s="74">
        <f>IF(B52="","",IF(N(L52)&gt;0,J52/L52,0.02))</f>
        <v>0.02</v>
      </c>
      <c r="P52" s="74">
        <f>IF(B52="","",IF(N(L52)&gt;0,IF(K52="",I52,K52)/L52,0.25))</f>
        <v>0.25</v>
      </c>
      <c r="Q52" s="69" t="inlineStr">
        <is>
          <t>claude-opus-4-8 (proxy)</t>
        </is>
      </c>
      <c r="R52" s="75" t="n">
        <v>0.0040886684</v>
      </c>
      <c r="S52" s="76" t="n">
        <v>1.2</v>
      </c>
      <c r="T52" s="75" t="n">
        <v>7.986676e-08</v>
      </c>
      <c r="U52" s="75" t="n">
        <v>1.06e-06</v>
      </c>
      <c r="V52" s="77" t="inlineStr">
        <is>
          <t>H</t>
        </is>
      </c>
      <c r="W52" s="78" t="n"/>
      <c r="X52" s="79">
        <f>IF(B52="","",R52*S52*P_Mix/1000000+IF(P_Fab="Oui",T52,0))</f>
        <v>3.30583906288e-07</v>
      </c>
      <c r="Y52" s="80">
        <f>IF(B52="","",IF(W52&lt;&gt;"",W52,IF(AND(P_Source="Table fournie",U52&lt;&gt;""),U52,X52)))</f>
        <v>1.06e-06</v>
      </c>
      <c r="Z52" s="70" t="str">
        <f>IF(B52="","",IF(W52&lt;&gt;"","Forcé",IF(AND(P_Source="Table fournie",U52&lt;&gt;""),IF(V52="H","Table (hypothèse)","Table (sourcé)"),"Calculateur de Boris")))</f>
        <v>Table (hypothèse)</v>
      </c>
    </row>
    <row r="53">
      <c r="B53" s="69" t="inlineStr">
        <is>
          <t>Claude Opus 5.5</t>
        </is>
      </c>
      <c r="C53" s="69" t="inlineStr">
        <is>
          <t>Anthropic</t>
        </is>
      </c>
      <c r="D53" s="69" t="n"/>
      <c r="E53" s="34" t="str">
        <f>IF(B53="","",IF(D53&lt;&gt;"",D53,IF('Contrôles'!$J$85&gt;0,"Exclusive",IF('Contrôles'!$U$85&lt;&gt;"",'Contrôles'!$U$85,IFERROR(INDEX(F_Conv,MATCH(C53,F_Fam,0)),"Inclusive")))))</f>
        <v>Exclusive</v>
      </c>
      <c r="F53" s="70" t="str">
        <f>IF(B53="","",IF(D53&lt;&gt;"","Forcée",IF('Contrôles'!$J$85&gt;0,"C2",IF('Contrôles'!$U$85&lt;&gt;"","C3","Défaut API"))))</f>
        <v>Défaut API</v>
      </c>
      <c r="G53" s="71">
        <f>IF(B53="","",IF(E53="Exclusive",0,1))</f>
        <v>0</v>
      </c>
      <c r="H53" s="71">
        <f>IF(B53="","",IF(E53="Inclusive",1,0))</f>
        <v>0</v>
      </c>
      <c r="I53" s="72" t="n">
        <v>4</v>
      </c>
      <c r="J53" s="72" t="n">
        <v>0.2</v>
      </c>
      <c r="K53" s="72" t="n">
        <v>5</v>
      </c>
      <c r="L53" s="72" t="n">
        <v>20</v>
      </c>
      <c r="M53" s="73" t="n"/>
      <c r="N53" s="74">
        <f>IF(B53="","",IF(N(L53)&gt;0,I53/L53,0.2))</f>
        <v>0.2</v>
      </c>
      <c r="O53" s="74">
        <f>IF(B53="","",IF(N(L53)&gt;0,J53/L53,0.02))</f>
        <v>0.01</v>
      </c>
      <c r="P53" s="74">
        <f>IF(B53="","",IF(N(L53)&gt;0,IF(K53="",I53,K53)/L53,0.25))</f>
        <v>0.25</v>
      </c>
      <c r="Q53" s="69" t="inlineStr">
        <is>
          <t>claude-opus-4-8 (proxy)</t>
        </is>
      </c>
      <c r="R53" s="75" t="n">
        <v>0.0040886684</v>
      </c>
      <c r="S53" s="76" t="n">
        <v>1.2</v>
      </c>
      <c r="T53" s="75" t="n">
        <v>7.986676e-08</v>
      </c>
      <c r="U53" s="75" t="n">
        <v>1.06e-06</v>
      </c>
      <c r="V53" s="77" t="inlineStr">
        <is>
          <t>H</t>
        </is>
      </c>
      <c r="W53" s="78" t="n"/>
      <c r="X53" s="79">
        <f>IF(B53="","",R53*S53*P_Mix/1000000+IF(P_Fab="Oui",T53,0))</f>
        <v>3.30583906288e-07</v>
      </c>
      <c r="Y53" s="80">
        <f>IF(B53="","",IF(W53&lt;&gt;"",W53,IF(AND(P_Source="Table fournie",U53&lt;&gt;""),U53,X53)))</f>
        <v>1.06e-06</v>
      </c>
      <c r="Z53" s="70" t="str">
        <f>IF(B53="","",IF(W53&lt;&gt;"","Forcé",IF(AND(P_Source="Table fournie",U53&lt;&gt;""),IF(V53="H","Table (hypothèse)","Table (sourcé)"),"Calculateur de Boris")))</f>
        <v>Table (hypothèse)</v>
      </c>
    </row>
    <row r="54">
      <c r="B54" s="69" t="inlineStr">
        <is>
          <t>Claude Fable 5</t>
        </is>
      </c>
      <c r="C54" s="69" t="inlineStr">
        <is>
          <t>Anthropic</t>
        </is>
      </c>
      <c r="D54" s="69" t="n"/>
      <c r="E54" s="34" t="str">
        <f>IF(B54="","",IF(D54&lt;&gt;"",D54,IF('Contrôles'!$J$86&gt;0,"Exclusive",IF('Contrôles'!$U$86&lt;&gt;"",'Contrôles'!$U$86,IFERROR(INDEX(F_Conv,MATCH(C54,F_Fam,0)),"Inclusive")))))</f>
        <v>Exclusive</v>
      </c>
      <c r="F54" s="70" t="str">
        <f>IF(B54="","",IF(D54&lt;&gt;"","Forcée",IF('Contrôles'!$J$86&gt;0,"C2",IF('Contrôles'!$U$86&lt;&gt;"","C3","Défaut API"))))</f>
        <v>Défaut API</v>
      </c>
      <c r="G54" s="71">
        <f>IF(B54="","",IF(E54="Exclusive",0,1))</f>
        <v>0</v>
      </c>
      <c r="H54" s="71">
        <f>IF(B54="","",IF(E54="Inclusive",1,0))</f>
        <v>0</v>
      </c>
      <c r="I54" s="72" t="n">
        <v>10</v>
      </c>
      <c r="J54" s="72" t="n">
        <v>1</v>
      </c>
      <c r="K54" s="72" t="n">
        <v>12.5</v>
      </c>
      <c r="L54" s="72" t="n">
        <v>50</v>
      </c>
      <c r="M54" s="73" t="n"/>
      <c r="N54" s="74">
        <f>IF(B54="","",IF(N(L54)&gt;0,I54/L54,0.2))</f>
        <v>0.2</v>
      </c>
      <c r="O54" s="74">
        <f>IF(B54="","",IF(N(L54)&gt;0,J54/L54,0.02))</f>
        <v>0.02</v>
      </c>
      <c r="P54" s="74">
        <f>IF(B54="","",IF(N(L54)&gt;0,IF(K54="",I54,K54)/L54,0.25))</f>
        <v>0.25</v>
      </c>
      <c r="Q54" s="69" t="inlineStr">
        <is>
          <t>claude-opus-4-6 (proxy)</t>
        </is>
      </c>
      <c r="R54" s="75" t="n">
        <v>0.005568696000000001</v>
      </c>
      <c r="S54" s="76" t="n">
        <v>1.2</v>
      </c>
      <c r="T54" s="75" t="n">
        <v>1.395263e-07</v>
      </c>
      <c r="U54" s="75" t="n">
        <v>1.06e-06</v>
      </c>
      <c r="V54" s="77" t="inlineStr">
        <is>
          <t>H</t>
        </is>
      </c>
      <c r="W54" s="78" t="n"/>
      <c r="X54" s="79">
        <f>IF(B54="","",R54*S54*P_Mix/1000000+IF(P_Fab="Oui",T54,0))</f>
        <v>4.8099873872e-07</v>
      </c>
      <c r="Y54" s="80">
        <f>IF(B54="","",IF(W54&lt;&gt;"",W54,IF(AND(P_Source="Table fournie",U54&lt;&gt;""),U54,X54)))</f>
        <v>1.06e-06</v>
      </c>
      <c r="Z54" s="70" t="str">
        <f>IF(B54="","",IF(W54&lt;&gt;"","Forcé",IF(AND(P_Source="Table fournie",U54&lt;&gt;""),IF(V54="H","Table (hypothèse)","Table (sourcé)"),"Calculateur de Boris")))</f>
        <v>Table (hypothèse)</v>
      </c>
    </row>
    <row r="55">
      <c r="B55" s="69" t="inlineStr">
        <is>
          <t>Claude Fable 5.1</t>
        </is>
      </c>
      <c r="C55" s="69" t="inlineStr">
        <is>
          <t>Anthropic</t>
        </is>
      </c>
      <c r="D55" s="69" t="n"/>
      <c r="E55" s="34" t="str">
        <f>IF(B55="","",IF(D55&lt;&gt;"",D55,IF('Contrôles'!$J$87&gt;0,"Exclusive",IF('Contrôles'!$U$87&lt;&gt;"",'Contrôles'!$U$87,IFERROR(INDEX(F_Conv,MATCH(C55,F_Fam,0)),"Inclusive")))))</f>
        <v>Exclusive</v>
      </c>
      <c r="F55" s="70" t="str">
        <f>IF(B55="","",IF(D55&lt;&gt;"","Forcée",IF('Contrôles'!$J$87&gt;0,"C2",IF('Contrôles'!$U$87&lt;&gt;"","C3","Défaut API"))))</f>
        <v>Défaut API</v>
      </c>
      <c r="G55" s="71">
        <f>IF(B55="","",IF(E55="Exclusive",0,1))</f>
        <v>0</v>
      </c>
      <c r="H55" s="71">
        <f>IF(B55="","",IF(E55="Inclusive",1,0))</f>
        <v>0</v>
      </c>
      <c r="I55" s="72" t="n">
        <v>10</v>
      </c>
      <c r="J55" s="72" t="n">
        <v>0.25</v>
      </c>
      <c r="K55" s="72" t="n">
        <v>12.5</v>
      </c>
      <c r="L55" s="72" t="n">
        <v>50</v>
      </c>
      <c r="M55" s="73" t="n"/>
      <c r="N55" s="74">
        <f>IF(B55="","",IF(N(L55)&gt;0,I55/L55,0.2))</f>
        <v>0.2</v>
      </c>
      <c r="O55" s="74">
        <f>IF(B55="","",IF(N(L55)&gt;0,J55/L55,0.02))</f>
        <v>0.005</v>
      </c>
      <c r="P55" s="74">
        <f>IF(B55="","",IF(N(L55)&gt;0,IF(K55="",I55,K55)/L55,0.25))</f>
        <v>0.25</v>
      </c>
      <c r="Q55" s="69" t="inlineStr">
        <is>
          <t>claude-opus-4-6 (proxy)</t>
        </is>
      </c>
      <c r="R55" s="75" t="n">
        <v>0.005568696000000001</v>
      </c>
      <c r="S55" s="76" t="n">
        <v>1.2</v>
      </c>
      <c r="T55" s="75" t="n">
        <v>1.395263e-07</v>
      </c>
      <c r="U55" s="75" t="n">
        <v>1.06e-06</v>
      </c>
      <c r="V55" s="77" t="inlineStr">
        <is>
          <t>H</t>
        </is>
      </c>
      <c r="W55" s="78" t="n"/>
      <c r="X55" s="79">
        <f>IF(B55="","",R55*S55*P_Mix/1000000+IF(P_Fab="Oui",T55,0))</f>
        <v>4.8099873872e-07</v>
      </c>
      <c r="Y55" s="80">
        <f>IF(B55="","",IF(W55&lt;&gt;"",W55,IF(AND(P_Source="Table fournie",U55&lt;&gt;""),U55,X55)))</f>
        <v>1.06e-06</v>
      </c>
      <c r="Z55" s="70" t="str">
        <f>IF(B55="","",IF(W55&lt;&gt;"","Forcé",IF(AND(P_Source="Table fournie",U55&lt;&gt;""),IF(V55="H","Table (hypothèse)","Table (sourcé)"),"Calculateur de Boris")))</f>
        <v>Table (hypothèse)</v>
      </c>
    </row>
    <row r="56">
      <c r="B56" s="69" t="inlineStr">
        <is>
          <t>Gemini 3.8 Flash</t>
        </is>
      </c>
      <c r="C56" s="69" t="inlineStr">
        <is>
          <t>Google Gemini</t>
        </is>
      </c>
      <c r="D56" s="69" t="n"/>
      <c r="E56" s="34" t="str">
        <f>IF(B56="","",IF(D56&lt;&gt;"",D56,IF('Contrôles'!$J$88&gt;0,"Exclusive",IF('Contrôles'!$U$88&lt;&gt;"",'Contrôles'!$U$88,IFERROR(INDEX(F_Conv,MATCH(C56,F_Fam,0)),"Inclusive")))))</f>
        <v>Inclusive</v>
      </c>
      <c r="F56" s="70" t="str">
        <f>IF(B56="","",IF(D56&lt;&gt;"","Forcée",IF('Contrôles'!$J$88&gt;0,"C2",IF('Contrôles'!$U$88&lt;&gt;"","C3","Défaut API"))))</f>
        <v>Défaut API</v>
      </c>
      <c r="G56" s="71">
        <f>IF(B56="","",IF(E56="Exclusive",0,1))</f>
        <v>1</v>
      </c>
      <c r="H56" s="71">
        <f>IF(B56="","",IF(E56="Inclusive",1,0))</f>
        <v>1</v>
      </c>
      <c r="I56" s="72" t="n">
        <v>0.75</v>
      </c>
      <c r="J56" s="72" t="n">
        <v>0.075</v>
      </c>
      <c r="K56" s="73" t="n"/>
      <c r="L56" s="72" t="n">
        <v>3.75</v>
      </c>
      <c r="M56" s="73" t="n"/>
      <c r="N56" s="74">
        <f>IF(B56="","",IF(N(L56)&gt;0,I56/L56,0.2))</f>
        <v>0.2</v>
      </c>
      <c r="O56" s="74">
        <f>IF(B56="","",IF(N(L56)&gt;0,J56/L56,0.02))</f>
        <v>0.02</v>
      </c>
      <c r="P56" s="74">
        <f>IF(B56="","",IF(N(L56)&gt;0,IF(K56="",I56,K56)/L56,0.25))</f>
        <v>0.2</v>
      </c>
      <c r="Q56" s="69" t="inlineStr">
        <is>
          <t>gemini-2.5-flash (proxy)</t>
        </is>
      </c>
      <c r="R56" s="75" t="n">
        <v>0.001605908</v>
      </c>
      <c r="S56" s="76" t="n">
        <v>1.2</v>
      </c>
      <c r="T56" s="75" t="n">
        <v>3.462087e-08</v>
      </c>
      <c r="U56" s="75" t="n">
        <v>1.5e-07</v>
      </c>
      <c r="V56" s="77" t="inlineStr">
        <is>
          <t>S</t>
        </is>
      </c>
      <c r="W56" s="78" t="n"/>
      <c r="X56" s="79">
        <f>IF(B56="","",R56*S56*P_Mix/1000000+IF(P_Fab="Oui",T56,0))</f>
        <v>1.3309514856e-07</v>
      </c>
      <c r="Y56" s="80">
        <f>IF(B56="","",IF(W56&lt;&gt;"",W56,IF(AND(P_Source="Table fournie",U56&lt;&gt;""),U56,X56)))</f>
        <v>1.5e-07</v>
      </c>
      <c r="Z56" s="70" t="str">
        <f>IF(B56="","",IF(W56&lt;&gt;"","Forcé",IF(AND(P_Source="Table fournie",U56&lt;&gt;""),IF(V56="H","Table (hypothèse)","Table (sourcé)"),"Calculateur de Boris")))</f>
        <v>Table (sourcé)</v>
      </c>
    </row>
    <row r="57">
      <c r="B57" s="69" t="inlineStr">
        <is>
          <t>Gemini 4 Argon</t>
        </is>
      </c>
      <c r="C57" s="69" t="inlineStr">
        <is>
          <t>Google Gemini</t>
        </is>
      </c>
      <c r="D57" s="69" t="n"/>
      <c r="E57" s="34" t="str">
        <f>IF(B57="","",IF(D57&lt;&gt;"",D57,IF('Contrôles'!$J$89&gt;0,"Exclusive",IF('Contrôles'!$U$89&lt;&gt;"",'Contrôles'!$U$89,IFERROR(INDEX(F_Conv,MATCH(C57,F_Fam,0)),"Inclusive")))))</f>
        <v>Inclusive</v>
      </c>
      <c r="F57" s="70" t="str">
        <f>IF(B57="","",IF(D57&lt;&gt;"","Forcée",IF('Contrôles'!$J$89&gt;0,"C2",IF('Contrôles'!$U$89&lt;&gt;"","C3","Défaut API"))))</f>
        <v>Défaut API</v>
      </c>
      <c r="G57" s="71">
        <f>IF(B57="","",IF(E57="Exclusive",0,1))</f>
        <v>1</v>
      </c>
      <c r="H57" s="71">
        <f>IF(B57="","",IF(E57="Inclusive",1,0))</f>
        <v>1</v>
      </c>
      <c r="I57" s="72" t="n">
        <v>2</v>
      </c>
      <c r="J57" s="72" t="n">
        <v>0.1</v>
      </c>
      <c r="K57" s="73" t="n"/>
      <c r="L57" s="72" t="n">
        <v>10</v>
      </c>
      <c r="M57" s="73" t="n"/>
      <c r="N57" s="74">
        <f>IF(B57="","",IF(N(L57)&gt;0,I57/L57,0.2))</f>
        <v>0.2</v>
      </c>
      <c r="O57" s="74">
        <f>IF(B57="","",IF(N(L57)&gt;0,J57/L57,0.02))</f>
        <v>0.01</v>
      </c>
      <c r="P57" s="74">
        <f>IF(B57="","",IF(N(L57)&gt;0,IF(K57="",I57,K57)/L57,0.25))</f>
        <v>0.2</v>
      </c>
      <c r="Q57" s="69" t="inlineStr">
        <is>
          <t>gemini-2.5-pro (proxy)</t>
        </is>
      </c>
      <c r="R57" s="75" t="n">
        <v>0.0176282429</v>
      </c>
      <c r="S57" s="76" t="n">
        <v>1.2</v>
      </c>
      <c r="T57" s="75" t="n">
        <v>1.016964e-07</v>
      </c>
      <c r="U57" s="75" t="n">
        <v>4.69e-06</v>
      </c>
      <c r="V57" s="77" t="inlineStr">
        <is>
          <t>H</t>
        </is>
      </c>
      <c r="W57" s="78" t="n"/>
      <c r="X57" s="79">
        <f>IF(B57="","",R57*S57*P_Mix/1000000+IF(P_Fab="Oui",T57,0))</f>
        <v>1.182660254628e-06</v>
      </c>
      <c r="Y57" s="80">
        <f>IF(B57="","",IF(W57&lt;&gt;"",W57,IF(AND(P_Source="Table fournie",U57&lt;&gt;""),U57,X57)))</f>
        <v>4.69e-06</v>
      </c>
      <c r="Z57" s="70" t="str">
        <f>IF(B57="","",IF(W57&lt;&gt;"","Forcé",IF(AND(P_Source="Table fournie",U57&lt;&gt;""),IF(V57="H","Table (hypothèse)","Table (sourcé)"),"Calculateur de Boris")))</f>
        <v>Table (hypothèse)</v>
      </c>
    </row>
    <row r="58">
      <c r="B58" s="69" t="inlineStr">
        <is>
          <t>Gemini 3.7 Flash</t>
        </is>
      </c>
      <c r="C58" s="69" t="inlineStr">
        <is>
          <t>Google Gemini</t>
        </is>
      </c>
      <c r="D58" s="69" t="n"/>
      <c r="E58" s="34" t="str">
        <f>IF(B58="","",IF(D58&lt;&gt;"",D58,IF('Contrôles'!$J$90&gt;0,"Exclusive",IF('Contrôles'!$U$90&lt;&gt;"",'Contrôles'!$U$90,IFERROR(INDEX(F_Conv,MATCH(C58,F_Fam,0)),"Inclusive")))))</f>
        <v>Inclusive</v>
      </c>
      <c r="F58" s="70" t="str">
        <f>IF(B58="","",IF(D58&lt;&gt;"","Forcée",IF('Contrôles'!$J$90&gt;0,"C2",IF('Contrôles'!$U$90&lt;&gt;"","C3","Défaut API"))))</f>
        <v>Défaut API</v>
      </c>
      <c r="G58" s="71">
        <f>IF(B58="","",IF(E58="Exclusive",0,1))</f>
        <v>1</v>
      </c>
      <c r="H58" s="71">
        <f>IF(B58="","",IF(E58="Inclusive",1,0))</f>
        <v>1</v>
      </c>
      <c r="I58" s="72" t="n">
        <v>0.75</v>
      </c>
      <c r="J58" s="72" t="n">
        <v>0.075</v>
      </c>
      <c r="K58" s="73" t="n"/>
      <c r="L58" s="72" t="n">
        <v>3.75</v>
      </c>
      <c r="M58" s="73" t="n"/>
      <c r="N58" s="74">
        <f>IF(B58="","",IF(N(L58)&gt;0,I58/L58,0.2))</f>
        <v>0.2</v>
      </c>
      <c r="O58" s="74">
        <f>IF(B58="","",IF(N(L58)&gt;0,J58/L58,0.02))</f>
        <v>0.02</v>
      </c>
      <c r="P58" s="74">
        <f>IF(B58="","",IF(N(L58)&gt;0,IF(K58="",I58,K58)/L58,0.25))</f>
        <v>0.2</v>
      </c>
      <c r="Q58" s="69" t="inlineStr">
        <is>
          <t>gemini-2.5-flash (proxy)</t>
        </is>
      </c>
      <c r="R58" s="75" t="n">
        <v>0.001605908</v>
      </c>
      <c r="S58" s="76" t="n">
        <v>1.2</v>
      </c>
      <c r="T58" s="75" t="n">
        <v>3.462087e-08</v>
      </c>
      <c r="U58" s="75" t="n">
        <v>1.5e-07</v>
      </c>
      <c r="V58" s="77" t="inlineStr">
        <is>
          <t>S</t>
        </is>
      </c>
      <c r="W58" s="78" t="n"/>
      <c r="X58" s="79">
        <f>IF(B58="","",R58*S58*P_Mix/1000000+IF(P_Fab="Oui",T58,0))</f>
        <v>1.3309514856e-07</v>
      </c>
      <c r="Y58" s="80">
        <f>IF(B58="","",IF(W58&lt;&gt;"",W58,IF(AND(P_Source="Table fournie",U58&lt;&gt;""),U58,X58)))</f>
        <v>1.5e-07</v>
      </c>
      <c r="Z58" s="70" t="str">
        <f>IF(B58="","",IF(W58&lt;&gt;"","Forcé",IF(AND(P_Source="Table fournie",U58&lt;&gt;""),IF(V58="H","Table (hypothèse)","Table (sourcé)"),"Calculateur de Boris")))</f>
        <v>Table (sourcé)</v>
      </c>
    </row>
    <row r="59">
      <c r="B59" s="69" t="inlineStr">
        <is>
          <t>Gemini 3.5 Flash</t>
        </is>
      </c>
      <c r="C59" s="69" t="inlineStr">
        <is>
          <t>Google Gemini</t>
        </is>
      </c>
      <c r="D59" s="69" t="n"/>
      <c r="E59" s="34" t="str">
        <f>IF(B59="","",IF(D59&lt;&gt;"",D59,IF('Contrôles'!$J$91&gt;0,"Exclusive",IF('Contrôles'!$U$91&lt;&gt;"",'Contrôles'!$U$91,IFERROR(INDEX(F_Conv,MATCH(C59,F_Fam,0)),"Inclusive")))))</f>
        <v>Inclusive</v>
      </c>
      <c r="F59" s="70" t="str">
        <f>IF(B59="","",IF(D59&lt;&gt;"","Forcée",IF('Contrôles'!$J$91&gt;0,"C2",IF('Contrôles'!$U$91&lt;&gt;"","C3","Défaut API"))))</f>
        <v>Défaut API</v>
      </c>
      <c r="G59" s="71">
        <f>IF(B59="","",IF(E59="Exclusive",0,1))</f>
        <v>1</v>
      </c>
      <c r="H59" s="71">
        <f>IF(B59="","",IF(E59="Inclusive",1,0))</f>
        <v>1</v>
      </c>
      <c r="I59" s="72" t="n">
        <v>1.5</v>
      </c>
      <c r="J59" s="72" t="n">
        <v>0.15</v>
      </c>
      <c r="K59" s="73" t="n"/>
      <c r="L59" s="72" t="n">
        <v>9</v>
      </c>
      <c r="M59" s="73" t="n"/>
      <c r="N59" s="74">
        <f>IF(B59="","",IF(N(L59)&gt;0,I59/L59,0.2))</f>
        <v>0.166666666666667</v>
      </c>
      <c r="O59" s="74">
        <f>IF(B59="","",IF(N(L59)&gt;0,J59/L59,0.02))</f>
        <v>0.0166666666666667</v>
      </c>
      <c r="P59" s="74">
        <f>IF(B59="","",IF(N(L59)&gt;0,IF(K59="",I59,K59)/L59,0.25))</f>
        <v>0.166666666666667</v>
      </c>
      <c r="Q59" s="69" t="inlineStr">
        <is>
          <t>gemini-2.5-flash (proxy)</t>
        </is>
      </c>
      <c r="R59" s="75" t="n">
        <v>0.001605908</v>
      </c>
      <c r="S59" s="76" t="n">
        <v>1.2</v>
      </c>
      <c r="T59" s="75" t="n">
        <v>3.462087e-08</v>
      </c>
      <c r="U59" s="75" t="n">
        <v>1.5e-07</v>
      </c>
      <c r="V59" s="77" t="inlineStr">
        <is>
          <t>S</t>
        </is>
      </c>
      <c r="W59" s="78" t="n"/>
      <c r="X59" s="79">
        <f>IF(B59="","",R59*S59*P_Mix/1000000+IF(P_Fab="Oui",T59,0))</f>
        <v>1.3309514856e-07</v>
      </c>
      <c r="Y59" s="80">
        <f>IF(B59="","",IF(W59&lt;&gt;"",W59,IF(AND(P_Source="Table fournie",U59&lt;&gt;""),U59,X59)))</f>
        <v>1.5e-07</v>
      </c>
      <c r="Z59" s="70" t="str">
        <f>IF(B59="","",IF(W59&lt;&gt;"","Forcé",IF(AND(P_Source="Table fournie",U59&lt;&gt;""),IF(V59="H","Table (hypothèse)","Table (sourcé)"),"Calculateur de Boris")))</f>
        <v>Table (sourcé)</v>
      </c>
    </row>
    <row r="60">
      <c r="B60" s="69" t="inlineStr">
        <is>
          <t>MAI-Code-1.1-Flash</t>
        </is>
      </c>
      <c r="C60" s="69" t="inlineStr">
        <is>
          <t>Microsoft MAI</t>
        </is>
      </c>
      <c r="D60" s="69" t="n"/>
      <c r="E60" s="34" t="str">
        <f>IF(B60="","",IF(D60&lt;&gt;"",D60,IF('Contrôles'!$J$92&gt;0,"Exclusive",IF('Contrôles'!$U$92&lt;&gt;"",'Contrôles'!$U$92,IFERROR(INDEX(F_Conv,MATCH(C60,F_Fam,0)),"Inclusive")))))</f>
        <v>Inclusive</v>
      </c>
      <c r="F60" s="70" t="str">
        <f>IF(B60="","",IF(D60&lt;&gt;"","Forcée",IF('Contrôles'!$J$92&gt;0,"C2",IF('Contrôles'!$U$92&lt;&gt;"","C3","Défaut API"))))</f>
        <v>Défaut API</v>
      </c>
      <c r="G60" s="71">
        <f>IF(B60="","",IF(E60="Exclusive",0,1))</f>
        <v>1</v>
      </c>
      <c r="H60" s="71">
        <f>IF(B60="","",IF(E60="Inclusive",1,0))</f>
        <v>1</v>
      </c>
      <c r="I60" s="72" t="n">
        <v>0.2</v>
      </c>
      <c r="J60" s="72" t="n">
        <v>0.02</v>
      </c>
      <c r="K60" s="73" t="n"/>
      <c r="L60" s="72" t="n">
        <v>1.2</v>
      </c>
      <c r="M60" s="73" t="n"/>
      <c r="N60" s="74">
        <f>IF(B60="","",IF(N(L60)&gt;0,I60/L60,0.2))</f>
        <v>0.166666666666667</v>
      </c>
      <c r="O60" s="74">
        <f>IF(B60="","",IF(N(L60)&gt;0,J60/L60,0.02))</f>
        <v>0.0166666666666667</v>
      </c>
      <c r="P60" s="74">
        <f>IF(B60="","",IF(N(L60)&gt;0,IF(K60="",I60,K60)/L60,0.25))</f>
        <v>0.166666666666667</v>
      </c>
      <c r="Q60" s="69" t="inlineStr">
        <is>
          <t>gpt-5-mini (proxy)</t>
        </is>
      </c>
      <c r="R60" s="75" t="n">
        <v>0.00037684316</v>
      </c>
      <c r="S60" s="76" t="n">
        <v>1.2</v>
      </c>
      <c r="T60" s="75" t="n">
        <v>1.229372e-08</v>
      </c>
      <c r="U60" s="73" t="n"/>
      <c r="V60" s="73" t="n"/>
      <c r="W60" s="78" t="n"/>
      <c r="X60" s="79">
        <f>IF(B60="","",R60*S60*P_Mix/1000000+IF(P_Fab="Oui",T60,0))</f>
        <v>3.54017425712e-08</v>
      </c>
      <c r="Y60" s="80">
        <f>IF(B60="","",IF(W60&lt;&gt;"",W60,IF(AND(P_Source="Table fournie",U60&lt;&gt;""),U60,X60)))</f>
        <v>3.54017425712e-08</v>
      </c>
      <c r="Z60" s="70" t="str">
        <f>IF(B60="","",IF(W60&lt;&gt;"","Forcé",IF(AND(P_Source="Table fournie",U60&lt;&gt;""),IF(V60="H","Table (hypothèse)","Table (sourcé)"),"Calculateur de Boris")))</f>
        <v>Calculateur de Boris</v>
      </c>
    </row>
    <row r="61">
      <c r="B61" s="69" t="inlineStr">
        <is>
          <t>Grok 4.5</t>
        </is>
      </c>
      <c r="C61" s="69" t="inlineStr">
        <is>
          <t>xAI Grok</t>
        </is>
      </c>
      <c r="D61" s="69" t="n"/>
      <c r="E61" s="34" t="str">
        <f>IF(B61="","",IF(D61&lt;&gt;"",D61,IF('Contrôles'!$J$93&gt;0,"Exclusive",IF('Contrôles'!$U$93&lt;&gt;"",'Contrôles'!$U$93,IFERROR(INDEX(F_Conv,MATCH(C61,F_Fam,0)),"Inclusive")))))</f>
        <v>Inclusive</v>
      </c>
      <c r="F61" s="70" t="str">
        <f>IF(B61="","",IF(D61&lt;&gt;"","Forcée",IF('Contrôles'!$J$93&gt;0,"C2",IF('Contrôles'!$U$93&lt;&gt;"","C3","Défaut API"))))</f>
        <v>Défaut API</v>
      </c>
      <c r="G61" s="71">
        <f>IF(B61="","",IF(E61="Exclusive",0,1))</f>
        <v>1</v>
      </c>
      <c r="H61" s="71">
        <f>IF(B61="","",IF(E61="Inclusive",1,0))</f>
        <v>1</v>
      </c>
      <c r="I61" s="72" t="n">
        <v>2</v>
      </c>
      <c r="J61" s="72" t="n">
        <v>0.5</v>
      </c>
      <c r="K61" s="73" t="n"/>
      <c r="L61" s="72" t="n">
        <v>6</v>
      </c>
      <c r="M61" s="73" t="n"/>
      <c r="N61" s="74">
        <f>IF(B61="","",IF(N(L61)&gt;0,I61/L61,0.2))</f>
        <v>0.333333333333333</v>
      </c>
      <c r="O61" s="74">
        <f>IF(B61="","",IF(N(L61)&gt;0,J61/L61,0.02))</f>
        <v>0.0833333333333333</v>
      </c>
      <c r="P61" s="74">
        <f>IF(B61="","",IF(N(L61)&gt;0,IF(K61="",I61,K61)/L61,0.25))</f>
        <v>0.333333333333333</v>
      </c>
      <c r="Q61" s="69" t="inlineStr">
        <is>
          <t>gpt-5.4 (proxy)</t>
        </is>
      </c>
      <c r="R61" s="75" t="n">
        <v>0.0017884687</v>
      </c>
      <c r="S61" s="76" t="n">
        <v>1.2</v>
      </c>
      <c r="T61" s="75" t="n">
        <v>5.090409e-08</v>
      </c>
      <c r="U61" s="73" t="n"/>
      <c r="V61" s="73" t="n"/>
      <c r="W61" s="78" t="n"/>
      <c r="X61" s="79">
        <f>IF(B61="","",R61*S61*P_Mix/1000000+IF(P_Fab="Oui",T61,0))</f>
        <v>1.60572990684e-07</v>
      </c>
      <c r="Y61" s="80">
        <f>IF(B61="","",IF(W61&lt;&gt;"",W61,IF(AND(P_Source="Table fournie",U61&lt;&gt;""),U61,X61)))</f>
        <v>1.60572990684e-07</v>
      </c>
      <c r="Z61" s="70" t="str">
        <f>IF(B61="","",IF(W61&lt;&gt;"","Forcé",IF(AND(P_Source="Table fournie",U61&lt;&gt;""),IF(V61="H","Table (hypothèse)","Table (sourcé)"),"Calculateur de Boris")))</f>
        <v>Calculateur de Boris</v>
      </c>
    </row>
    <row r="62">
      <c r="B62" s="69" t="inlineStr">
        <is>
          <t>Grok 4.6</t>
        </is>
      </c>
      <c r="C62" s="69" t="inlineStr">
        <is>
          <t>xAI Grok</t>
        </is>
      </c>
      <c r="D62" s="69" t="n"/>
      <c r="E62" s="34" t="str">
        <f>IF(B62="","",IF(D62&lt;&gt;"",D62,IF('Contrôles'!$J$94&gt;0,"Exclusive",IF('Contrôles'!$U$94&lt;&gt;"",'Contrôles'!$U$94,IFERROR(INDEX(F_Conv,MATCH(C62,F_Fam,0)),"Inclusive")))))</f>
        <v>Inclusive</v>
      </c>
      <c r="F62" s="70" t="str">
        <f>IF(B62="","",IF(D62&lt;&gt;"","Forcée",IF('Contrôles'!$J$94&gt;0,"C2",IF('Contrôles'!$U$94&lt;&gt;"","C3","Défaut API"))))</f>
        <v>Défaut API</v>
      </c>
      <c r="G62" s="71">
        <f>IF(B62="","",IF(E62="Exclusive",0,1))</f>
        <v>1</v>
      </c>
      <c r="H62" s="71">
        <f>IF(B62="","",IF(E62="Inclusive",1,0))</f>
        <v>1</v>
      </c>
      <c r="I62" s="72" t="n">
        <v>2</v>
      </c>
      <c r="J62" s="72" t="n">
        <v>0.5</v>
      </c>
      <c r="K62" s="73" t="n"/>
      <c r="L62" s="72" t="n">
        <v>6</v>
      </c>
      <c r="M62" s="73" t="n"/>
      <c r="N62" s="74">
        <f>IF(B62="","",IF(N(L62)&gt;0,I62/L62,0.2))</f>
        <v>0.333333333333333</v>
      </c>
      <c r="O62" s="74">
        <f>IF(B62="","",IF(N(L62)&gt;0,J62/L62,0.02))</f>
        <v>0.0833333333333333</v>
      </c>
      <c r="P62" s="74">
        <f>IF(B62="","",IF(N(L62)&gt;0,IF(K62="",I62,K62)/L62,0.25))</f>
        <v>0.333333333333333</v>
      </c>
      <c r="Q62" s="69" t="inlineStr">
        <is>
          <t>gpt-5.4 (proxy)</t>
        </is>
      </c>
      <c r="R62" s="75" t="n">
        <v>0.0017884687</v>
      </c>
      <c r="S62" s="76" t="n">
        <v>1.2</v>
      </c>
      <c r="T62" s="75" t="n">
        <v>5.090409e-08</v>
      </c>
      <c r="U62" s="73" t="n"/>
      <c r="V62" s="73" t="n"/>
      <c r="W62" s="78" t="n"/>
      <c r="X62" s="79">
        <f>IF(B62="","",R62*S62*P_Mix/1000000+IF(P_Fab="Oui",T62,0))</f>
        <v>1.60572990684e-07</v>
      </c>
      <c r="Y62" s="80">
        <f>IF(B62="","",IF(W62&lt;&gt;"",W62,IF(AND(P_Source="Table fournie",U62&lt;&gt;""),U62,X62)))</f>
        <v>1.60572990684e-07</v>
      </c>
      <c r="Z62" s="70" t="str">
        <f>IF(B62="","",IF(W62&lt;&gt;"","Forcé",IF(AND(P_Source="Table fournie",U62&lt;&gt;""),IF(V62="H","Table (hypothèse)","Table (sourcé)"),"Calculateur de Boris")))</f>
        <v>Calculateur de Boris</v>
      </c>
    </row>
    <row r="63">
      <c r="B63" s="69" t="inlineStr">
        <is>
          <t>Grok 4.7</t>
        </is>
      </c>
      <c r="C63" s="69" t="inlineStr">
        <is>
          <t>xAI Grok</t>
        </is>
      </c>
      <c r="D63" s="69" t="n"/>
      <c r="E63" s="34" t="str">
        <f>IF(B63="","",IF(D63&lt;&gt;"",D63,IF('Contrôles'!$J$95&gt;0,"Exclusive",IF('Contrôles'!$U$95&lt;&gt;"",'Contrôles'!$U$95,IFERROR(INDEX(F_Conv,MATCH(C63,F_Fam,0)),"Inclusive")))))</f>
        <v>Inclusive</v>
      </c>
      <c r="F63" s="70" t="str">
        <f>IF(B63="","",IF(D63&lt;&gt;"","Forcée",IF('Contrôles'!$J$95&gt;0,"C2",IF('Contrôles'!$U$95&lt;&gt;"","C3","Défaut API"))))</f>
        <v>Défaut API</v>
      </c>
      <c r="G63" s="71">
        <f>IF(B63="","",IF(E63="Exclusive",0,1))</f>
        <v>1</v>
      </c>
      <c r="H63" s="71">
        <f>IF(B63="","",IF(E63="Inclusive",1,0))</f>
        <v>1</v>
      </c>
      <c r="I63" s="72" t="n">
        <v>2</v>
      </c>
      <c r="J63" s="72" t="n">
        <v>0.5</v>
      </c>
      <c r="K63" s="73" t="n"/>
      <c r="L63" s="72" t="n">
        <v>6</v>
      </c>
      <c r="M63" s="73" t="n"/>
      <c r="N63" s="74">
        <f>IF(B63="","",IF(N(L63)&gt;0,I63/L63,0.2))</f>
        <v>0.333333333333333</v>
      </c>
      <c r="O63" s="74">
        <f>IF(B63="","",IF(N(L63)&gt;0,J63/L63,0.02))</f>
        <v>0.0833333333333333</v>
      </c>
      <c r="P63" s="74">
        <f>IF(B63="","",IF(N(L63)&gt;0,IF(K63="",I63,K63)/L63,0.25))</f>
        <v>0.333333333333333</v>
      </c>
      <c r="Q63" s="69" t="inlineStr">
        <is>
          <t>gpt-5.4 (proxy)</t>
        </is>
      </c>
      <c r="R63" s="75" t="n">
        <v>0.0017884687</v>
      </c>
      <c r="S63" s="76" t="n">
        <v>1.2</v>
      </c>
      <c r="T63" s="75" t="n">
        <v>5.090409e-08</v>
      </c>
      <c r="U63" s="73" t="n"/>
      <c r="V63" s="73" t="n"/>
      <c r="W63" s="78" t="n"/>
      <c r="X63" s="79">
        <f>IF(B63="","",R63*S63*P_Mix/1000000+IF(P_Fab="Oui",T63,0))</f>
        <v>1.60572990684e-07</v>
      </c>
      <c r="Y63" s="80">
        <f>IF(B63="","",IF(W63&lt;&gt;"",W63,IF(AND(P_Source="Table fournie",U63&lt;&gt;""),U63,X63)))</f>
        <v>1.60572990684e-07</v>
      </c>
      <c r="Z63" s="70" t="str">
        <f>IF(B63="","",IF(W63&lt;&gt;"","Forcé",IF(AND(P_Source="Table fournie",U63&lt;&gt;""),IF(V63="H","Table (hypothèse)","Table (sourcé)"),"Calculateur de Boris")))</f>
        <v>Calculateur de Boris</v>
      </c>
    </row>
    <row r="64">
      <c r="B64" s="69" t="inlineStr">
        <is>
          <t>Kimi K3</t>
        </is>
      </c>
      <c r="C64" s="69" t="inlineStr">
        <is>
          <t>Moonshot Kimi</t>
        </is>
      </c>
      <c r="D64" s="69" t="n"/>
      <c r="E64" s="34" t="str">
        <f>IF(B64="","",IF(D64&lt;&gt;"",D64,IF('Contrôles'!$J$96&gt;0,"Exclusive",IF('Contrôles'!$U$96&lt;&gt;"",'Contrôles'!$U$96,IFERROR(INDEX(F_Conv,MATCH(C64,F_Fam,0)),"Inclusive")))))</f>
        <v>Inclusive</v>
      </c>
      <c r="F64" s="70" t="str">
        <f>IF(B64="","",IF(D64&lt;&gt;"","Forcée",IF('Contrôles'!$J$96&gt;0,"C2",IF('Contrôles'!$U$96&lt;&gt;"","C3","Défaut API"))))</f>
        <v>Défaut API</v>
      </c>
      <c r="G64" s="71">
        <f>IF(B64="","",IF(E64="Exclusive",0,1))</f>
        <v>1</v>
      </c>
      <c r="H64" s="71">
        <f>IF(B64="","",IF(E64="Inclusive",1,0))</f>
        <v>1</v>
      </c>
      <c r="I64" s="72" t="n">
        <v>3</v>
      </c>
      <c r="J64" s="72" t="n">
        <v>0.3</v>
      </c>
      <c r="K64" s="73" t="n"/>
      <c r="L64" s="72" t="n">
        <v>15</v>
      </c>
      <c r="M64" s="73" t="n"/>
      <c r="N64" s="74">
        <f>IF(B64="","",IF(N(L64)&gt;0,I64/L64,0.2))</f>
        <v>0.2</v>
      </c>
      <c r="O64" s="74">
        <f>IF(B64="","",IF(N(L64)&gt;0,J64/L64,0.02))</f>
        <v>0.02</v>
      </c>
      <c r="P64" s="74">
        <f>IF(B64="","",IF(N(L64)&gt;0,IF(K64="",I64,K64)/L64,0.25))</f>
        <v>0.2</v>
      </c>
      <c r="Q64" s="69" t="inlineStr">
        <is>
          <t>gpt-5.1 (proxy)</t>
        </is>
      </c>
      <c r="R64" s="75" t="n">
        <v>0.0014396287</v>
      </c>
      <c r="S64" s="76" t="n">
        <v>1.2</v>
      </c>
      <c r="T64" s="75" t="n">
        <v>5.436939e-08</v>
      </c>
      <c r="U64" s="73" t="n"/>
      <c r="V64" s="73" t="n"/>
      <c r="W64" s="78" t="n"/>
      <c r="X64" s="79">
        <f>IF(B64="","",R64*S64*P_Mix/1000000+IF(P_Fab="Oui",T64,0))</f>
        <v>1.42647421884e-07</v>
      </c>
      <c r="Y64" s="80">
        <f>IF(B64="","",IF(W64&lt;&gt;"",W64,IF(AND(P_Source="Table fournie",U64&lt;&gt;""),U64,X64)))</f>
        <v>1.42647421884e-07</v>
      </c>
      <c r="Z64" s="70" t="str">
        <f>IF(B64="","",IF(W64&lt;&gt;"","Forcé",IF(AND(P_Source="Table fournie",U64&lt;&gt;""),IF(V64="H","Table (hypothèse)","Table (sourcé)"),"Calculateur de Boris")))</f>
        <v>Calculateur de Boris</v>
      </c>
    </row>
    <row r="65">
      <c r="B65" s="69" t="inlineStr">
        <is>
          <t>Claude Opus 4.5</t>
        </is>
      </c>
      <c r="C65" s="69" t="inlineStr">
        <is>
          <t>Anthropic</t>
        </is>
      </c>
      <c r="D65" s="69" t="n"/>
      <c r="E65" s="34" t="str">
        <f>IF(B65="","",IF(D65&lt;&gt;"",D65,IF('Contrôles'!$J$97&gt;0,"Exclusive",IF('Contrôles'!$U$97&lt;&gt;"",'Contrôles'!$U$97,IFERROR(INDEX(F_Conv,MATCH(C65,F_Fam,0)),"Inclusive")))))</f>
        <v>Exclusive</v>
      </c>
      <c r="F65" s="70" t="str">
        <f>IF(B65="","",IF(D65&lt;&gt;"","Forcée",IF('Contrôles'!$J$97&gt;0,"C2",IF('Contrôles'!$U$97&lt;&gt;"","C3","Défaut API"))))</f>
        <v>Défaut API</v>
      </c>
      <c r="G65" s="71">
        <f>IF(B65="","",IF(E65="Exclusive",0,1))</f>
        <v>0</v>
      </c>
      <c r="H65" s="71">
        <f>IF(B65="","",IF(E65="Inclusive",1,0))</f>
        <v>0</v>
      </c>
      <c r="I65" s="72" t="n">
        <v>5</v>
      </c>
      <c r="J65" s="72" t="n">
        <v>0.5</v>
      </c>
      <c r="K65" s="72" t="n">
        <v>6.25</v>
      </c>
      <c r="L65" s="72" t="n">
        <v>25</v>
      </c>
      <c r="M65" s="73" t="n"/>
      <c r="N65" s="74">
        <f>IF(B65="","",IF(N(L65)&gt;0,I65/L65,0.2))</f>
        <v>0.2</v>
      </c>
      <c r="O65" s="74">
        <f>IF(B65="","",IF(N(L65)&gt;0,J65/L65,0.02))</f>
        <v>0.02</v>
      </c>
      <c r="P65" s="74">
        <f>IF(B65="","",IF(N(L65)&gt;0,IF(K65="",I65,K65)/L65,0.25))</f>
        <v>0.25</v>
      </c>
      <c r="Q65" s="69" t="inlineStr">
        <is>
          <t>claude-opus-4-6 (proxy)</t>
        </is>
      </c>
      <c r="R65" s="75" t="n">
        <v>0.005568696000000001</v>
      </c>
      <c r="S65" s="76" t="n">
        <v>1.2</v>
      </c>
      <c r="T65" s="75" t="n">
        <v>1.395263e-07</v>
      </c>
      <c r="U65" s="75" t="n">
        <v>3.2e-07</v>
      </c>
      <c r="V65" s="77" t="inlineStr">
        <is>
          <t>H</t>
        </is>
      </c>
      <c r="W65" s="78" t="n"/>
      <c r="X65" s="79">
        <f>IF(B65="","",R65*S65*P_Mix/1000000+IF(P_Fab="Oui",T65,0))</f>
        <v>4.8099873872e-07</v>
      </c>
      <c r="Y65" s="80">
        <f>IF(B65="","",IF(W65&lt;&gt;"",W65,IF(AND(P_Source="Table fournie",U65&lt;&gt;""),U65,X65)))</f>
        <v>3.2e-07</v>
      </c>
      <c r="Z65" s="70" t="str">
        <f>IF(B65="","",IF(W65&lt;&gt;"","Forcé",IF(AND(P_Source="Table fournie",U65&lt;&gt;""),IF(V65="H","Table (hypothèse)","Table (sourcé)"),"Calculateur de Boris")))</f>
        <v>Table (hypothèse)</v>
      </c>
    </row>
    <row r="66">
      <c r="B66" s="69" t="inlineStr">
        <is>
          <t>Claude Opus 4.6</t>
        </is>
      </c>
      <c r="C66" s="69" t="inlineStr">
        <is>
          <t>Anthropic</t>
        </is>
      </c>
      <c r="D66" s="69" t="n"/>
      <c r="E66" s="34" t="str">
        <f>IF(B66="","",IF(D66&lt;&gt;"",D66,IF('Contrôles'!$J$98&gt;0,"Exclusive",IF('Contrôles'!$U$98&lt;&gt;"",'Contrôles'!$U$98,IFERROR(INDEX(F_Conv,MATCH(C66,F_Fam,0)),"Inclusive")))))</f>
        <v>Exclusive</v>
      </c>
      <c r="F66" s="70" t="str">
        <f>IF(B66="","",IF(D66&lt;&gt;"","Forcée",IF('Contrôles'!$J$98&gt;0,"C2",IF('Contrôles'!$U$98&lt;&gt;"","C3","Défaut API"))))</f>
        <v>Défaut API</v>
      </c>
      <c r="G66" s="71">
        <f>IF(B66="","",IF(E66="Exclusive",0,1))</f>
        <v>0</v>
      </c>
      <c r="H66" s="71">
        <f>IF(B66="","",IF(E66="Inclusive",1,0))</f>
        <v>0</v>
      </c>
      <c r="I66" s="72" t="n">
        <v>5</v>
      </c>
      <c r="J66" s="72" t="n">
        <v>0.5</v>
      </c>
      <c r="K66" s="72" t="n">
        <v>6.25</v>
      </c>
      <c r="L66" s="72" t="n">
        <v>25</v>
      </c>
      <c r="M66" s="73" t="n"/>
      <c r="N66" s="74">
        <f>IF(B66="","",IF(N(L66)&gt;0,I66/L66,0.2))</f>
        <v>0.2</v>
      </c>
      <c r="O66" s="74">
        <f>IF(B66="","",IF(N(L66)&gt;0,J66/L66,0.02))</f>
        <v>0.02</v>
      </c>
      <c r="P66" s="74">
        <f>IF(B66="","",IF(N(L66)&gt;0,IF(K66="",I66,K66)/L66,0.25))</f>
        <v>0.25</v>
      </c>
      <c r="Q66" s="69" t="inlineStr">
        <is>
          <t>claude-opus-4-6</t>
        </is>
      </c>
      <c r="R66" s="75" t="n">
        <v>0.005568696000000001</v>
      </c>
      <c r="S66" s="76" t="n">
        <v>1.2</v>
      </c>
      <c r="T66" s="75" t="n">
        <v>1.395263e-07</v>
      </c>
      <c r="U66" s="75" t="n">
        <v>3.2e-07</v>
      </c>
      <c r="V66" s="77" t="inlineStr">
        <is>
          <t>S</t>
        </is>
      </c>
      <c r="W66" s="78" t="n"/>
      <c r="X66" s="79">
        <f>IF(B66="","",R66*S66*P_Mix/1000000+IF(P_Fab="Oui",T66,0))</f>
        <v>4.8099873872e-07</v>
      </c>
      <c r="Y66" s="80">
        <f>IF(B66="","",IF(W66&lt;&gt;"",W66,IF(AND(P_Source="Table fournie",U66&lt;&gt;""),U66,X66)))</f>
        <v>3.2e-07</v>
      </c>
      <c r="Z66" s="70" t="str">
        <f>IF(B66="","",IF(W66&lt;&gt;"","Forcé",IF(AND(P_Source="Table fournie",U66&lt;&gt;""),IF(V66="H","Table (hypothèse)","Table (sourcé)"),"Calculateur de Boris")))</f>
        <v>Table (sourcé)</v>
      </c>
    </row>
    <row r="67">
      <c r="B67" s="69" t="inlineStr">
        <is>
          <t>Claude Opus 4.7</t>
        </is>
      </c>
      <c r="C67" s="69" t="inlineStr">
        <is>
          <t>Anthropic</t>
        </is>
      </c>
      <c r="D67" s="69" t="n"/>
      <c r="E67" s="34" t="str">
        <f>IF(B67="","",IF(D67&lt;&gt;"",D67,IF('Contrôles'!$J$99&gt;0,"Exclusive",IF('Contrôles'!$U$99&lt;&gt;"",'Contrôles'!$U$99,IFERROR(INDEX(F_Conv,MATCH(C67,F_Fam,0)),"Inclusive")))))</f>
        <v>Exclusive</v>
      </c>
      <c r="F67" s="70" t="str">
        <f>IF(B67="","",IF(D67&lt;&gt;"","Forcée",IF('Contrôles'!$J$99&gt;0,"C2",IF('Contrôles'!$U$99&lt;&gt;"","C3","Défaut API"))))</f>
        <v>Défaut API</v>
      </c>
      <c r="G67" s="71">
        <f>IF(B67="","",IF(E67="Exclusive",0,1))</f>
        <v>0</v>
      </c>
      <c r="H67" s="71">
        <f>IF(B67="","",IF(E67="Inclusive",1,0))</f>
        <v>0</v>
      </c>
      <c r="I67" s="72" t="n">
        <v>5</v>
      </c>
      <c r="J67" s="72" t="n">
        <v>0.5</v>
      </c>
      <c r="K67" s="72" t="n">
        <v>6.25</v>
      </c>
      <c r="L67" s="72" t="n">
        <v>25</v>
      </c>
      <c r="M67" s="73" t="n"/>
      <c r="N67" s="74">
        <f>IF(B67="","",IF(N(L67)&gt;0,I67/L67,0.2))</f>
        <v>0.2</v>
      </c>
      <c r="O67" s="74">
        <f>IF(B67="","",IF(N(L67)&gt;0,J67/L67,0.02))</f>
        <v>0.02</v>
      </c>
      <c r="P67" s="74">
        <f>IF(B67="","",IF(N(L67)&gt;0,IF(K67="",I67,K67)/L67,0.25))</f>
        <v>0.25</v>
      </c>
      <c r="Q67" s="69" t="inlineStr">
        <is>
          <t>claude-opus-4-7</t>
        </is>
      </c>
      <c r="R67" s="75" t="n">
        <v>0.0041689948</v>
      </c>
      <c r="S67" s="76" t="n">
        <v>1.2</v>
      </c>
      <c r="T67" s="75" t="n">
        <v>9.772726e-08</v>
      </c>
      <c r="U67" s="75" t="n">
        <v>1.09e-06</v>
      </c>
      <c r="V67" s="77" t="inlineStr">
        <is>
          <t>S</t>
        </is>
      </c>
      <c r="W67" s="78" t="n"/>
      <c r="X67" s="79">
        <f>IF(B67="","",R67*S67*P_Mix/1000000+IF(P_Fab="Oui",T67,0))</f>
        <v>3.53370021136e-07</v>
      </c>
      <c r="Y67" s="80">
        <f>IF(B67="","",IF(W67&lt;&gt;"",W67,IF(AND(P_Source="Table fournie",U67&lt;&gt;""),U67,X67)))</f>
        <v>1.09e-06</v>
      </c>
      <c r="Z67" s="70" t="str">
        <f>IF(B67="","",IF(W67&lt;&gt;"","Forcé",IF(AND(P_Source="Table fournie",U67&lt;&gt;""),IF(V67="H","Table (hypothèse)","Table (sourcé)"),"Calculateur de Boris")))</f>
        <v>Table (sourcé)</v>
      </c>
    </row>
    <row r="68">
      <c r="B68" s="69" t="inlineStr">
        <is>
          <t>Claude Sonnet 4.5</t>
        </is>
      </c>
      <c r="C68" s="69" t="inlineStr">
        <is>
          <t>Anthropic</t>
        </is>
      </c>
      <c r="D68" s="69" t="n"/>
      <c r="E68" s="34" t="str">
        <f>IF(B68="","",IF(D68&lt;&gt;"",D68,IF('Contrôles'!$J$100&gt;0,"Exclusive",IF('Contrôles'!$U$100&lt;&gt;"",'Contrôles'!$U$100,IFERROR(INDEX(F_Conv,MATCH(C68,F_Fam,0)),"Inclusive")))))</f>
        <v>Exclusive</v>
      </c>
      <c r="F68" s="70" t="str">
        <f>IF(B68="","",IF(D68&lt;&gt;"","Forcée",IF('Contrôles'!$J$100&gt;0,"C2",IF('Contrôles'!$U$100&lt;&gt;"","C3","Défaut API"))))</f>
        <v>Défaut API</v>
      </c>
      <c r="G68" s="71">
        <f>IF(B68="","",IF(E68="Exclusive",0,1))</f>
        <v>0</v>
      </c>
      <c r="H68" s="71">
        <f>IF(B68="","",IF(E68="Inclusive",1,0))</f>
        <v>0</v>
      </c>
      <c r="I68" s="72" t="n">
        <v>3</v>
      </c>
      <c r="J68" s="72" t="n">
        <v>0.3</v>
      </c>
      <c r="K68" s="72" t="n">
        <v>3.75</v>
      </c>
      <c r="L68" s="72" t="n">
        <v>15</v>
      </c>
      <c r="M68" s="73" t="n"/>
      <c r="N68" s="74">
        <f>IF(B68="","",IF(N(L68)&gt;0,I68/L68,0.2))</f>
        <v>0.2</v>
      </c>
      <c r="O68" s="74">
        <f>IF(B68="","",IF(N(L68)&gt;0,J68/L68,0.02))</f>
        <v>0.02</v>
      </c>
      <c r="P68" s="74">
        <f>IF(B68="","",IF(N(L68)&gt;0,IF(K68="",I68,K68)/L68,0.25))</f>
        <v>0.25</v>
      </c>
      <c r="Q68" s="69" t="inlineStr">
        <is>
          <t>claude-sonnet-4-5</t>
        </is>
      </c>
      <c r="R68" s="75" t="n">
        <v>0.0017395549</v>
      </c>
      <c r="S68" s="76" t="n">
        <v>1.2</v>
      </c>
      <c r="T68" s="75" t="n">
        <v>6.433711e-08</v>
      </c>
      <c r="U68" s="75" t="n">
        <v>5.1716e-07</v>
      </c>
      <c r="V68" s="77" t="inlineStr">
        <is>
          <t>S</t>
        </is>
      </c>
      <c r="W68" s="78" t="n"/>
      <c r="X68" s="79">
        <f>IF(B68="","",R68*S68*P_Mix/1000000+IF(P_Fab="Oui",T68,0))</f>
        <v>1.71006616468e-07</v>
      </c>
      <c r="Y68" s="80">
        <f>IF(B68="","",IF(W68&lt;&gt;"",W68,IF(AND(P_Source="Table fournie",U68&lt;&gt;""),U68,X68)))</f>
        <v>5.1716e-07</v>
      </c>
      <c r="Z68" s="70" t="str">
        <f>IF(B68="","",IF(W68&lt;&gt;"","Forcé",IF(AND(P_Source="Table fournie",U68&lt;&gt;""),IF(V68="H","Table (hypothèse)","Table (sourcé)"),"Calculateur de Boris")))</f>
        <v>Table (sourcé)</v>
      </c>
    </row>
    <row r="69">
      <c r="B69" s="69" t="inlineStr">
        <is>
          <t>Gemini 2.5 Flash</t>
        </is>
      </c>
      <c r="C69" s="69" t="inlineStr">
        <is>
          <t>Hors grille</t>
        </is>
      </c>
      <c r="D69" s="69" t="n"/>
      <c r="E69" s="34" t="str">
        <f>IF(B69="","",IF(D69&lt;&gt;"",D69,IF('Contrôles'!$J$101&gt;0,"Exclusive",IF('Contrôles'!$U$101&lt;&gt;"",'Contrôles'!$U$101,IFERROR(INDEX(F_Conv,MATCH(C69,F_Fam,0)),"Inclusive")))))</f>
        <v>Inclusive</v>
      </c>
      <c r="F69" s="70" t="str">
        <f>IF(B69="","",IF(D69&lt;&gt;"","Forcée",IF('Contrôles'!$J$101&gt;0,"C2",IF('Contrôles'!$U$101&lt;&gt;"","C3","Défaut API"))))</f>
        <v>Défaut API</v>
      </c>
      <c r="G69" s="71">
        <f>IF(B69="","",IF(E69="Exclusive",0,1))</f>
        <v>1</v>
      </c>
      <c r="H69" s="71">
        <f>IF(B69="","",IF(E69="Inclusive",1,0))</f>
        <v>1</v>
      </c>
      <c r="I69" s="73" t="n"/>
      <c r="J69" s="73" t="n"/>
      <c r="K69" s="73" t="n"/>
      <c r="L69" s="73" t="n"/>
      <c r="M69" s="73" t="n"/>
      <c r="N69" s="74">
        <f>IF(B69="","",IF(N(L69)&gt;0,I69/L69,0.2))</f>
        <v>0.2</v>
      </c>
      <c r="O69" s="74">
        <f>IF(B69="","",IF(N(L69)&gt;0,J69/L69,0.02))</f>
        <v>0.02</v>
      </c>
      <c r="P69" s="74">
        <f>IF(B69="","",IF(N(L69)&gt;0,IF(K69="",I69,K69)/L69,0.25))</f>
        <v>0.25</v>
      </c>
      <c r="Q69" s="69" t="inlineStr">
        <is>
          <t>gpt-5.4 (proxy)</t>
        </is>
      </c>
      <c r="R69" s="75" t="n">
        <v>0.0017884687</v>
      </c>
      <c r="S69" s="76" t="n">
        <v>1.2</v>
      </c>
      <c r="T69" s="75" t="n">
        <v>5.090409e-08</v>
      </c>
      <c r="U69" s="75" t="n">
        <v>4.5265e-07</v>
      </c>
      <c r="V69" s="77" t="inlineStr">
        <is>
          <t>S</t>
        </is>
      </c>
      <c r="W69" s="78" t="n"/>
      <c r="X69" s="79">
        <f>IF(B69="","",R69*S69*P_Mix/1000000+IF(P_Fab="Oui",T69,0))</f>
        <v>1.60572990684e-07</v>
      </c>
      <c r="Y69" s="80">
        <f>IF(B69="","",IF(W69&lt;&gt;"",W69,IF(AND(P_Source="Table fournie",U69&lt;&gt;""),U69,X69)))</f>
        <v>4.5265e-07</v>
      </c>
      <c r="Z69" s="70" t="str">
        <f>IF(B69="","",IF(W69&lt;&gt;"","Forcé",IF(AND(P_Source="Table fournie",U69&lt;&gt;""),IF(V69="H","Table (hypothèse)","Table (sourcé)"),"Calculateur de Boris")))</f>
        <v>Table (sourcé)</v>
      </c>
    </row>
    <row r="70">
      <c r="B70" s="69" t="inlineStr">
        <is>
          <t>Gemini 2.5-pro</t>
        </is>
      </c>
      <c r="C70" s="69" t="inlineStr">
        <is>
          <t>Hors grille</t>
        </is>
      </c>
      <c r="D70" s="69" t="n"/>
      <c r="E70" s="34" t="str">
        <f>IF(B70="","",IF(D70&lt;&gt;"",D70,IF('Contrôles'!$J$102&gt;0,"Exclusive",IF('Contrôles'!$U$102&lt;&gt;"",'Contrôles'!$U$102,IFERROR(INDEX(F_Conv,MATCH(C70,F_Fam,0)),"Inclusive")))))</f>
        <v>Inclusive</v>
      </c>
      <c r="F70" s="70" t="str">
        <f>IF(B70="","",IF(D70&lt;&gt;"","Forcée",IF('Contrôles'!$J$102&gt;0,"C2",IF('Contrôles'!$U$102&lt;&gt;"","C3","Défaut API"))))</f>
        <v>Défaut API</v>
      </c>
      <c r="G70" s="71">
        <f>IF(B70="","",IF(E70="Exclusive",0,1))</f>
        <v>1</v>
      </c>
      <c r="H70" s="71">
        <f>IF(B70="","",IF(E70="Inclusive",1,0))</f>
        <v>1</v>
      </c>
      <c r="I70" s="73" t="n"/>
      <c r="J70" s="73" t="n"/>
      <c r="K70" s="73" t="n"/>
      <c r="L70" s="73" t="n"/>
      <c r="M70" s="73" t="n"/>
      <c r="N70" s="74">
        <f>IF(B70="","",IF(N(L70)&gt;0,I70/L70,0.2))</f>
        <v>0.2</v>
      </c>
      <c r="O70" s="74">
        <f>IF(B70="","",IF(N(L70)&gt;0,J70/L70,0.02))</f>
        <v>0.02</v>
      </c>
      <c r="P70" s="74">
        <f>IF(B70="","",IF(N(L70)&gt;0,IF(K70="",I70,K70)/L70,0.25))</f>
        <v>0.25</v>
      </c>
      <c r="Q70" s="69" t="inlineStr">
        <is>
          <t>gpt-5.4 (proxy)</t>
        </is>
      </c>
      <c r="R70" s="75" t="n">
        <v>0.0017884687</v>
      </c>
      <c r="S70" s="76" t="n">
        <v>1.2</v>
      </c>
      <c r="T70" s="75" t="n">
        <v>5.090409e-08</v>
      </c>
      <c r="U70" s="75" t="n">
        <v>4.69e-06</v>
      </c>
      <c r="V70" s="77" t="inlineStr">
        <is>
          <t>S</t>
        </is>
      </c>
      <c r="W70" s="78" t="n"/>
      <c r="X70" s="79">
        <f>IF(B70="","",R70*S70*P_Mix/1000000+IF(P_Fab="Oui",T70,0))</f>
        <v>1.60572990684e-07</v>
      </c>
      <c r="Y70" s="80">
        <f>IF(B70="","",IF(W70&lt;&gt;"",W70,IF(AND(P_Source="Table fournie",U70&lt;&gt;""),U70,X70)))</f>
        <v>4.69e-06</v>
      </c>
      <c r="Z70" s="70" t="str">
        <f>IF(B70="","",IF(W70&lt;&gt;"","Forcé",IF(AND(P_Source="Table fournie",U70&lt;&gt;""),IF(V70="H","Table (hypothèse)","Table (sourcé)"),"Calculateur de Boris")))</f>
        <v>Table (sourcé)</v>
      </c>
    </row>
    <row r="71">
      <c r="B71" s="69" t="inlineStr">
        <is>
          <t>gemini-2.5-flash-lite</t>
        </is>
      </c>
      <c r="C71" s="69" t="inlineStr">
        <is>
          <t>Hors grille</t>
        </is>
      </c>
      <c r="D71" s="69" t="n"/>
      <c r="E71" s="34" t="str">
        <f>IF(B71="","",IF(D71&lt;&gt;"",D71,IF('Contrôles'!$J$103&gt;0,"Exclusive",IF('Contrôles'!$U$103&lt;&gt;"",'Contrôles'!$U$103,IFERROR(INDEX(F_Conv,MATCH(C71,F_Fam,0)),"Inclusive")))))</f>
        <v>Inclusive</v>
      </c>
      <c r="F71" s="70" t="str">
        <f>IF(B71="","",IF(D71&lt;&gt;"","Forcée",IF('Contrôles'!$J$103&gt;0,"C2",IF('Contrôles'!$U$103&lt;&gt;"","C3","Défaut API"))))</f>
        <v>Défaut API</v>
      </c>
      <c r="G71" s="71">
        <f>IF(B71="","",IF(E71="Exclusive",0,1))</f>
        <v>1</v>
      </c>
      <c r="H71" s="71">
        <f>IF(B71="","",IF(E71="Inclusive",1,0))</f>
        <v>1</v>
      </c>
      <c r="I71" s="73" t="n"/>
      <c r="J71" s="73" t="n"/>
      <c r="K71" s="73" t="n"/>
      <c r="L71" s="73" t="n"/>
      <c r="M71" s="73" t="n"/>
      <c r="N71" s="74">
        <f>IF(B71="","",IF(N(L71)&gt;0,I71/L71,0.2))</f>
        <v>0.2</v>
      </c>
      <c r="O71" s="74">
        <f>IF(B71="","",IF(N(L71)&gt;0,J71/L71,0.02))</f>
        <v>0.02</v>
      </c>
      <c r="P71" s="74">
        <f>IF(B71="","",IF(N(L71)&gt;0,IF(K71="",I71,K71)/L71,0.25))</f>
        <v>0.25</v>
      </c>
      <c r="Q71" s="69" t="inlineStr">
        <is>
          <t>gpt-5.4 (proxy)</t>
        </is>
      </c>
      <c r="R71" s="75" t="n">
        <v>0.0017884687</v>
      </c>
      <c r="S71" s="76" t="n">
        <v>1.2</v>
      </c>
      <c r="T71" s="75" t="n">
        <v>5.090409e-08</v>
      </c>
      <c r="U71" s="75" t="n">
        <v>1.761e-08</v>
      </c>
      <c r="V71" s="77" t="inlineStr">
        <is>
          <t>S</t>
        </is>
      </c>
      <c r="W71" s="78" t="n"/>
      <c r="X71" s="79">
        <f>IF(B71="","",R71*S71*P_Mix/1000000+IF(P_Fab="Oui",T71,0))</f>
        <v>1.60572990684e-07</v>
      </c>
      <c r="Y71" s="80">
        <f>IF(B71="","",IF(W71&lt;&gt;"",W71,IF(AND(P_Source="Table fournie",U71&lt;&gt;""),U71,X71)))</f>
        <v>1.761e-08</v>
      </c>
      <c r="Z71" s="70" t="str">
        <f>IF(B71="","",IF(W71&lt;&gt;"","Forcé",IF(AND(P_Source="Table fournie",U71&lt;&gt;""),IF(V71="H","Table (hypothèse)","Table (sourcé)"),"Calculateur de Boris")))</f>
        <v>Table (sourcé)</v>
      </c>
    </row>
    <row r="72">
      <c r="B72" s="69" t="inlineStr">
        <is>
          <t>gemini-2.5-flash-tts</t>
        </is>
      </c>
      <c r="C72" s="69" t="inlineStr">
        <is>
          <t>Hors grille</t>
        </is>
      </c>
      <c r="D72" s="69" t="n"/>
      <c r="E72" s="34" t="str">
        <f>IF(B72="","",IF(D72&lt;&gt;"",D72,IF('Contrôles'!$J$104&gt;0,"Exclusive",IF('Contrôles'!$U$104&lt;&gt;"",'Contrôles'!$U$104,IFERROR(INDEX(F_Conv,MATCH(C72,F_Fam,0)),"Inclusive")))))</f>
        <v>Inclusive</v>
      </c>
      <c r="F72" s="70" t="str">
        <f>IF(B72="","",IF(D72&lt;&gt;"","Forcée",IF('Contrôles'!$J$104&gt;0,"C2",IF('Contrôles'!$U$104&lt;&gt;"","C3","Défaut API"))))</f>
        <v>Défaut API</v>
      </c>
      <c r="G72" s="71">
        <f>IF(B72="","",IF(E72="Exclusive",0,1))</f>
        <v>1</v>
      </c>
      <c r="H72" s="71">
        <f>IF(B72="","",IF(E72="Inclusive",1,0))</f>
        <v>1</v>
      </c>
      <c r="I72" s="73" t="n"/>
      <c r="J72" s="73" t="n"/>
      <c r="K72" s="73" t="n"/>
      <c r="L72" s="73" t="n"/>
      <c r="M72" s="73" t="n"/>
      <c r="N72" s="74">
        <f>IF(B72="","",IF(N(L72)&gt;0,I72/L72,0.2))</f>
        <v>0.2</v>
      </c>
      <c r="O72" s="74">
        <f>IF(B72="","",IF(N(L72)&gt;0,J72/L72,0.02))</f>
        <v>0.02</v>
      </c>
      <c r="P72" s="74">
        <f>IF(B72="","",IF(N(L72)&gt;0,IF(K72="",I72,K72)/L72,0.25))</f>
        <v>0.25</v>
      </c>
      <c r="Q72" s="69" t="inlineStr">
        <is>
          <t>gpt-5.4 (proxy)</t>
        </is>
      </c>
      <c r="R72" s="75" t="n">
        <v>0.0017884687</v>
      </c>
      <c r="S72" s="76" t="n">
        <v>1.2</v>
      </c>
      <c r="T72" s="75" t="n">
        <v>5.090409e-08</v>
      </c>
      <c r="U72" s="75" t="n">
        <v>1.761e-08</v>
      </c>
      <c r="V72" s="77" t="inlineStr">
        <is>
          <t>H</t>
        </is>
      </c>
      <c r="W72" s="78" t="n"/>
      <c r="X72" s="79">
        <f>IF(B72="","",R72*S72*P_Mix/1000000+IF(P_Fab="Oui",T72,0))</f>
        <v>1.60572990684e-07</v>
      </c>
      <c r="Y72" s="80">
        <f>IF(B72="","",IF(W72&lt;&gt;"",W72,IF(AND(P_Source="Table fournie",U72&lt;&gt;""),U72,X72)))</f>
        <v>1.761e-08</v>
      </c>
      <c r="Z72" s="70" t="str">
        <f>IF(B72="","",IF(W72&lt;&gt;"","Forcé",IF(AND(P_Source="Table fournie",U72&lt;&gt;""),IF(V72="H","Table (hypothèse)","Table (sourcé)"),"Calculateur de Boris")))</f>
        <v>Table (hypothèse)</v>
      </c>
    </row>
    <row r="73">
      <c r="B73" s="69" t="inlineStr">
        <is>
          <t>gemini-2.5-pro-tts</t>
        </is>
      </c>
      <c r="C73" s="69" t="inlineStr">
        <is>
          <t>Hors grille</t>
        </is>
      </c>
      <c r="D73" s="69" t="n"/>
      <c r="E73" s="34" t="str">
        <f>IF(B73="","",IF(D73&lt;&gt;"",D73,IF('Contrôles'!$J$105&gt;0,"Exclusive",IF('Contrôles'!$U$105&lt;&gt;"",'Contrôles'!$U$105,IFERROR(INDEX(F_Conv,MATCH(C73,F_Fam,0)),"Inclusive")))))</f>
        <v>Inclusive</v>
      </c>
      <c r="F73" s="70" t="str">
        <f>IF(B73="","",IF(D73&lt;&gt;"","Forcée",IF('Contrôles'!$J$105&gt;0,"C2",IF('Contrôles'!$U$105&lt;&gt;"","C3","Défaut API"))))</f>
        <v>Défaut API</v>
      </c>
      <c r="G73" s="71">
        <f>IF(B73="","",IF(E73="Exclusive",0,1))</f>
        <v>1</v>
      </c>
      <c r="H73" s="71">
        <f>IF(B73="","",IF(E73="Inclusive",1,0))</f>
        <v>1</v>
      </c>
      <c r="I73" s="73" t="n"/>
      <c r="J73" s="73" t="n"/>
      <c r="K73" s="73" t="n"/>
      <c r="L73" s="73" t="n"/>
      <c r="M73" s="73" t="n"/>
      <c r="N73" s="74">
        <f>IF(B73="","",IF(N(L73)&gt;0,I73/L73,0.2))</f>
        <v>0.2</v>
      </c>
      <c r="O73" s="74">
        <f>IF(B73="","",IF(N(L73)&gt;0,J73/L73,0.02))</f>
        <v>0.02</v>
      </c>
      <c r="P73" s="74">
        <f>IF(B73="","",IF(N(L73)&gt;0,IF(K73="",I73,K73)/L73,0.25))</f>
        <v>0.25</v>
      </c>
      <c r="Q73" s="69" t="inlineStr">
        <is>
          <t>gpt-5.4 (proxy)</t>
        </is>
      </c>
      <c r="R73" s="75" t="n">
        <v>0.0017884687</v>
      </c>
      <c r="S73" s="76" t="n">
        <v>1.2</v>
      </c>
      <c r="T73" s="75" t="n">
        <v>5.090409e-08</v>
      </c>
      <c r="U73" s="75" t="n">
        <v>4.69e-06</v>
      </c>
      <c r="V73" s="77" t="inlineStr">
        <is>
          <t>H</t>
        </is>
      </c>
      <c r="W73" s="78" t="n"/>
      <c r="X73" s="79">
        <f>IF(B73="","",R73*S73*P_Mix/1000000+IF(P_Fab="Oui",T73,0))</f>
        <v>1.60572990684e-07</v>
      </c>
      <c r="Y73" s="80">
        <f>IF(B73="","",IF(W73&lt;&gt;"",W73,IF(AND(P_Source="Table fournie",U73&lt;&gt;""),U73,X73)))</f>
        <v>4.69e-06</v>
      </c>
      <c r="Z73" s="70" t="str">
        <f>IF(B73="","",IF(W73&lt;&gt;"","Forcé",IF(AND(P_Source="Table fournie",U73&lt;&gt;""),IF(V73="H","Table (hypothèse)","Table (sourcé)"),"Calculateur de Boris")))</f>
        <v>Table (hypothèse)</v>
      </c>
    </row>
    <row r="74">
      <c r="B74" s="69" t="inlineStr">
        <is>
          <t>GPT 4.1</t>
        </is>
      </c>
      <c r="C74" s="69" t="inlineStr">
        <is>
          <t>Hors grille</t>
        </is>
      </c>
      <c r="D74" s="69" t="n"/>
      <c r="E74" s="34" t="str">
        <f>IF(B74="","",IF(D74&lt;&gt;"",D74,IF('Contrôles'!$J$106&gt;0,"Exclusive",IF('Contrôles'!$U$106&lt;&gt;"",'Contrôles'!$U$106,IFERROR(INDEX(F_Conv,MATCH(C74,F_Fam,0)),"Inclusive")))))</f>
        <v>Inclusive</v>
      </c>
      <c r="F74" s="70" t="str">
        <f>IF(B74="","",IF(D74&lt;&gt;"","Forcée",IF('Contrôles'!$J$106&gt;0,"C2",IF('Contrôles'!$U$106&lt;&gt;"","C3","Défaut API"))))</f>
        <v>Défaut API</v>
      </c>
      <c r="G74" s="71">
        <f>IF(B74="","",IF(E74="Exclusive",0,1))</f>
        <v>1</v>
      </c>
      <c r="H74" s="71">
        <f>IF(B74="","",IF(E74="Inclusive",1,0))</f>
        <v>1</v>
      </c>
      <c r="I74" s="73" t="n"/>
      <c r="J74" s="73" t="n"/>
      <c r="K74" s="73" t="n"/>
      <c r="L74" s="73" t="n"/>
      <c r="M74" s="73" t="n"/>
      <c r="N74" s="74">
        <f>IF(B74="","",IF(N(L74)&gt;0,I74/L74,0.2))</f>
        <v>0.2</v>
      </c>
      <c r="O74" s="74">
        <f>IF(B74="","",IF(N(L74)&gt;0,J74/L74,0.02))</f>
        <v>0.02</v>
      </c>
      <c r="P74" s="74">
        <f>IF(B74="","",IF(N(L74)&gt;0,IF(K74="",I74,K74)/L74,0.25))</f>
        <v>0.25</v>
      </c>
      <c r="Q74" s="69" t="inlineStr">
        <is>
          <t>gpt-5.4 (proxy)</t>
        </is>
      </c>
      <c r="R74" s="75" t="n">
        <v>0.0017884687</v>
      </c>
      <c r="S74" s="76" t="n">
        <v>1.2</v>
      </c>
      <c r="T74" s="75" t="n">
        <v>5.090409e-08</v>
      </c>
      <c r="U74" s="75" t="n">
        <v>5.121e-07</v>
      </c>
      <c r="V74" s="77" t="inlineStr">
        <is>
          <t>S</t>
        </is>
      </c>
      <c r="W74" s="78" t="n"/>
      <c r="X74" s="79">
        <f>IF(B74="","",R74*S74*P_Mix/1000000+IF(P_Fab="Oui",T74,0))</f>
        <v>1.60572990684e-07</v>
      </c>
      <c r="Y74" s="80">
        <f>IF(B74="","",IF(W74&lt;&gt;"",W74,IF(AND(P_Source="Table fournie",U74&lt;&gt;""),U74,X74)))</f>
        <v>5.121e-07</v>
      </c>
      <c r="Z74" s="70" t="str">
        <f>IF(B74="","",IF(W74&lt;&gt;"","Forcé",IF(AND(P_Source="Table fournie",U74&lt;&gt;""),IF(V74="H","Table (hypothèse)","Table (sourcé)"),"Calculateur de Boris")))</f>
        <v>Table (sourcé)</v>
      </c>
    </row>
    <row r="75">
      <c r="B75" s="69" t="inlineStr">
        <is>
          <t>GPT-4.1 mini</t>
        </is>
      </c>
      <c r="C75" s="69" t="inlineStr">
        <is>
          <t>Hors grille</t>
        </is>
      </c>
      <c r="D75" s="69" t="n"/>
      <c r="E75" s="34" t="str">
        <f>IF(B75="","",IF(D75&lt;&gt;"",D75,IF('Contrôles'!$J$107&gt;0,"Exclusive",IF('Contrôles'!$U$107&lt;&gt;"",'Contrôles'!$U$107,IFERROR(INDEX(F_Conv,MATCH(C75,F_Fam,0)),"Inclusive")))))</f>
        <v>Inclusive</v>
      </c>
      <c r="F75" s="70" t="str">
        <f>IF(B75="","",IF(D75&lt;&gt;"","Forcée",IF('Contrôles'!$J$107&gt;0,"C2",IF('Contrôles'!$U$107&lt;&gt;"","C3","Défaut API"))))</f>
        <v>Défaut API</v>
      </c>
      <c r="G75" s="71">
        <f>IF(B75="","",IF(E75="Exclusive",0,1))</f>
        <v>1</v>
      </c>
      <c r="H75" s="71">
        <f>IF(B75="","",IF(E75="Inclusive",1,0))</f>
        <v>1</v>
      </c>
      <c r="I75" s="73" t="n"/>
      <c r="J75" s="73" t="n"/>
      <c r="K75" s="73" t="n"/>
      <c r="L75" s="73" t="n"/>
      <c r="M75" s="73" t="n"/>
      <c r="N75" s="74">
        <f>IF(B75="","",IF(N(L75)&gt;0,I75/L75,0.2))</f>
        <v>0.2</v>
      </c>
      <c r="O75" s="74">
        <f>IF(B75="","",IF(N(L75)&gt;0,J75/L75,0.02))</f>
        <v>0.02</v>
      </c>
      <c r="P75" s="74">
        <f>IF(B75="","",IF(N(L75)&gt;0,IF(K75="",I75,K75)/L75,0.25))</f>
        <v>0.25</v>
      </c>
      <c r="Q75" s="69" t="inlineStr">
        <is>
          <t>gpt-5.4 (proxy)</t>
        </is>
      </c>
      <c r="R75" s="75" t="n">
        <v>0.0017884687</v>
      </c>
      <c r="S75" s="76" t="n">
        <v>1.2</v>
      </c>
      <c r="T75" s="75" t="n">
        <v>5.090409e-08</v>
      </c>
      <c r="U75" s="75" t="n">
        <v>1.1853e-07</v>
      </c>
      <c r="V75" s="77" t="inlineStr">
        <is>
          <t>S</t>
        </is>
      </c>
      <c r="W75" s="78" t="n"/>
      <c r="X75" s="79">
        <f>IF(B75="","",R75*S75*P_Mix/1000000+IF(P_Fab="Oui",T75,0))</f>
        <v>1.60572990684e-07</v>
      </c>
      <c r="Y75" s="80">
        <f>IF(B75="","",IF(W75&lt;&gt;"",W75,IF(AND(P_Source="Table fournie",U75&lt;&gt;""),U75,X75)))</f>
        <v>1.1853e-07</v>
      </c>
      <c r="Z75" s="70" t="str">
        <f>IF(B75="","",IF(W75&lt;&gt;"","Forcé",IF(AND(P_Source="Table fournie",U75&lt;&gt;""),IF(V75="H","Table (hypothèse)","Table (sourcé)"),"Calculateur de Boris")))</f>
        <v>Table (sourcé)</v>
      </c>
    </row>
    <row r="76">
      <c r="B76" s="69" t="inlineStr">
        <is>
          <t>GPT-4.1 nano</t>
        </is>
      </c>
      <c r="C76" s="69" t="inlineStr">
        <is>
          <t>Hors grille</t>
        </is>
      </c>
      <c r="D76" s="69" t="n"/>
      <c r="E76" s="34" t="str">
        <f>IF(B76="","",IF(D76&lt;&gt;"",D76,IF('Contrôles'!$J$108&gt;0,"Exclusive",IF('Contrôles'!$U$108&lt;&gt;"",'Contrôles'!$U$108,IFERROR(INDEX(F_Conv,MATCH(C76,F_Fam,0)),"Inclusive")))))</f>
        <v>Inclusive</v>
      </c>
      <c r="F76" s="70" t="str">
        <f>IF(B76="","",IF(D76&lt;&gt;"","Forcée",IF('Contrôles'!$J$108&gt;0,"C2",IF('Contrôles'!$U$108&lt;&gt;"","C3","Défaut API"))))</f>
        <v>Défaut API</v>
      </c>
      <c r="G76" s="71">
        <f>IF(B76="","",IF(E76="Exclusive",0,1))</f>
        <v>1</v>
      </c>
      <c r="H76" s="71">
        <f>IF(B76="","",IF(E76="Inclusive",1,0))</f>
        <v>1</v>
      </c>
      <c r="I76" s="73" t="n"/>
      <c r="J76" s="73" t="n"/>
      <c r="K76" s="73" t="n"/>
      <c r="L76" s="73" t="n"/>
      <c r="M76" s="73" t="n"/>
      <c r="N76" s="74">
        <f>IF(B76="","",IF(N(L76)&gt;0,I76/L76,0.2))</f>
        <v>0.2</v>
      </c>
      <c r="O76" s="74">
        <f>IF(B76="","",IF(N(L76)&gt;0,J76/L76,0.02))</f>
        <v>0.02</v>
      </c>
      <c r="P76" s="74">
        <f>IF(B76="","",IF(N(L76)&gt;0,IF(K76="",I76,K76)/L76,0.25))</f>
        <v>0.25</v>
      </c>
      <c r="Q76" s="69" t="inlineStr">
        <is>
          <t>gpt-5.4 (proxy)</t>
        </is>
      </c>
      <c r="R76" s="75" t="n">
        <v>0.0017884687</v>
      </c>
      <c r="S76" s="76" t="n">
        <v>1.2</v>
      </c>
      <c r="T76" s="75" t="n">
        <v>5.090409e-08</v>
      </c>
      <c r="U76" s="75" t="n">
        <v>1.738e-08</v>
      </c>
      <c r="V76" s="77" t="inlineStr">
        <is>
          <t>S</t>
        </is>
      </c>
      <c r="W76" s="78" t="n"/>
      <c r="X76" s="79">
        <f>IF(B76="","",R76*S76*P_Mix/1000000+IF(P_Fab="Oui",T76,0))</f>
        <v>1.60572990684e-07</v>
      </c>
      <c r="Y76" s="80">
        <f>IF(B76="","",IF(W76&lt;&gt;"",W76,IF(AND(P_Source="Table fournie",U76&lt;&gt;""),U76,X76)))</f>
        <v>1.738e-08</v>
      </c>
      <c r="Z76" s="70" t="str">
        <f>IF(B76="","",IF(W76&lt;&gt;"","Forcé",IF(AND(P_Source="Table fournie",U76&lt;&gt;""),IF(V76="H","Table (hypothèse)","Table (sourcé)"),"Calculateur de Boris")))</f>
        <v>Table (sourcé)</v>
      </c>
    </row>
    <row r="77">
      <c r="B77" s="69" t="inlineStr">
        <is>
          <t>gpt-4o-2024-11-20</t>
        </is>
      </c>
      <c r="C77" s="69" t="inlineStr">
        <is>
          <t>Hors grille</t>
        </is>
      </c>
      <c r="D77" s="69" t="n"/>
      <c r="E77" s="34" t="str">
        <f>IF(B77="","",IF(D77&lt;&gt;"",D77,IF('Contrôles'!$J$109&gt;0,"Exclusive",IF('Contrôles'!$U$109&lt;&gt;"",'Contrôles'!$U$109,IFERROR(INDEX(F_Conv,MATCH(C77,F_Fam,0)),"Inclusive")))))</f>
        <v>Inclusive</v>
      </c>
      <c r="F77" s="70" t="str">
        <f>IF(B77="","",IF(D77&lt;&gt;"","Forcée",IF('Contrôles'!$J$109&gt;0,"C2",IF('Contrôles'!$U$109&lt;&gt;"","C3","Défaut API"))))</f>
        <v>Défaut API</v>
      </c>
      <c r="G77" s="71">
        <f>IF(B77="","",IF(E77="Exclusive",0,1))</f>
        <v>1</v>
      </c>
      <c r="H77" s="71">
        <f>IF(B77="","",IF(E77="Inclusive",1,0))</f>
        <v>1</v>
      </c>
      <c r="I77" s="73" t="n"/>
      <c r="J77" s="73" t="n"/>
      <c r="K77" s="73" t="n"/>
      <c r="L77" s="73" t="n"/>
      <c r="M77" s="73" t="n"/>
      <c r="N77" s="74">
        <f>IF(B77="","",IF(N(L77)&gt;0,I77/L77,0.2))</f>
        <v>0.2</v>
      </c>
      <c r="O77" s="74">
        <f>IF(B77="","",IF(N(L77)&gt;0,J77/L77,0.02))</f>
        <v>0.02</v>
      </c>
      <c r="P77" s="74">
        <f>IF(B77="","",IF(N(L77)&gt;0,IF(K77="",I77,K77)/L77,0.25))</f>
        <v>0.25</v>
      </c>
      <c r="Q77" s="69" t="inlineStr">
        <is>
          <t>gpt-5.4 (proxy)</t>
        </is>
      </c>
      <c r="R77" s="75" t="n">
        <v>0.0017884687</v>
      </c>
      <c r="S77" s="76" t="n">
        <v>1.2</v>
      </c>
      <c r="T77" s="75" t="n">
        <v>5.090409e-08</v>
      </c>
      <c r="U77" s="75" t="n">
        <v>2.28e-06</v>
      </c>
      <c r="V77" s="77" t="inlineStr">
        <is>
          <t>S</t>
        </is>
      </c>
      <c r="W77" s="78" t="n"/>
      <c r="X77" s="79">
        <f>IF(B77="","",R77*S77*P_Mix/1000000+IF(P_Fab="Oui",T77,0))</f>
        <v>1.60572990684e-07</v>
      </c>
      <c r="Y77" s="80">
        <f>IF(B77="","",IF(W77&lt;&gt;"",W77,IF(AND(P_Source="Table fournie",U77&lt;&gt;""),U77,X77)))</f>
        <v>2.28e-06</v>
      </c>
      <c r="Z77" s="70" t="str">
        <f>IF(B77="","",IF(W77&lt;&gt;"","Forcé",IF(AND(P_Source="Table fournie",U77&lt;&gt;""),IF(V77="H","Table (hypothèse)","Table (sourcé)"),"Calculateur de Boris")))</f>
        <v>Table (sourcé)</v>
      </c>
    </row>
    <row r="78">
      <c r="B78" s="69" t="inlineStr">
        <is>
          <t>gpt-4o-mini-2024-07-18</t>
        </is>
      </c>
      <c r="C78" s="69" t="inlineStr">
        <is>
          <t>Hors grille</t>
        </is>
      </c>
      <c r="D78" s="69" t="n"/>
      <c r="E78" s="34" t="str">
        <f>IF(B78="","",IF(D78&lt;&gt;"",D78,IF('Contrôles'!$J$110&gt;0,"Exclusive",IF('Contrôles'!$U$110&lt;&gt;"",'Contrôles'!$U$110,IFERROR(INDEX(F_Conv,MATCH(C78,F_Fam,0)),"Inclusive")))))</f>
        <v>Inclusive</v>
      </c>
      <c r="F78" s="70" t="str">
        <f>IF(B78="","",IF(D78&lt;&gt;"","Forcée",IF('Contrôles'!$J$110&gt;0,"C2",IF('Contrôles'!$U$110&lt;&gt;"","C3","Défaut API"))))</f>
        <v>Défaut API</v>
      </c>
      <c r="G78" s="71">
        <f>IF(B78="","",IF(E78="Exclusive",0,1))</f>
        <v>1</v>
      </c>
      <c r="H78" s="71">
        <f>IF(B78="","",IF(E78="Inclusive",1,0))</f>
        <v>1</v>
      </c>
      <c r="I78" s="73" t="n"/>
      <c r="J78" s="73" t="n"/>
      <c r="K78" s="73" t="n"/>
      <c r="L78" s="73" t="n"/>
      <c r="M78" s="73" t="n"/>
      <c r="N78" s="74">
        <f>IF(B78="","",IF(N(L78)&gt;0,I78/L78,0.2))</f>
        <v>0.2</v>
      </c>
      <c r="O78" s="74">
        <f>IF(B78="","",IF(N(L78)&gt;0,J78/L78,0.02))</f>
        <v>0.02</v>
      </c>
      <c r="P78" s="74">
        <f>IF(B78="","",IF(N(L78)&gt;0,IF(K78="",I78,K78)/L78,0.25))</f>
        <v>0.25</v>
      </c>
      <c r="Q78" s="69" t="inlineStr">
        <is>
          <t>gpt-5.4 (proxy)</t>
        </is>
      </c>
      <c r="R78" s="75" t="n">
        <v>0.0017884687</v>
      </c>
      <c r="S78" s="76" t="n">
        <v>1.2</v>
      </c>
      <c r="T78" s="75" t="n">
        <v>5.090409e-08</v>
      </c>
      <c r="U78" s="75" t="n">
        <v>1e-08</v>
      </c>
      <c r="V78" s="77" t="inlineStr">
        <is>
          <t>S</t>
        </is>
      </c>
      <c r="W78" s="78" t="n"/>
      <c r="X78" s="79">
        <f>IF(B78="","",R78*S78*P_Mix/1000000+IF(P_Fab="Oui",T78,0))</f>
        <v>1.60572990684e-07</v>
      </c>
      <c r="Y78" s="80">
        <f>IF(B78="","",IF(W78&lt;&gt;"",W78,IF(AND(P_Source="Table fournie",U78&lt;&gt;""),U78,X78)))</f>
        <v>1e-08</v>
      </c>
      <c r="Z78" s="70" t="str">
        <f>IF(B78="","",IF(W78&lt;&gt;"","Forcé",IF(AND(P_Source="Table fournie",U78&lt;&gt;""),IF(V78="H","Table (hypothèse)","Table (sourcé)"),"Calculateur de Boris")))</f>
        <v>Table (sourcé)</v>
      </c>
    </row>
    <row r="79">
      <c r="B79" s="69" t="inlineStr">
        <is>
          <t>gpt-4o-transcribe-2025-03-20</t>
        </is>
      </c>
      <c r="C79" s="69" t="inlineStr">
        <is>
          <t>Hors grille</t>
        </is>
      </c>
      <c r="D79" s="69" t="n"/>
      <c r="E79" s="34" t="str">
        <f>IF(B79="","",IF(D79&lt;&gt;"",D79,IF('Contrôles'!$J$111&gt;0,"Exclusive",IF('Contrôles'!$U$111&lt;&gt;"",'Contrôles'!$U$111,IFERROR(INDEX(F_Conv,MATCH(C79,F_Fam,0)),"Inclusive")))))</f>
        <v>Inclusive</v>
      </c>
      <c r="F79" s="70" t="str">
        <f>IF(B79="","",IF(D79&lt;&gt;"","Forcée",IF('Contrôles'!$J$111&gt;0,"C2",IF('Contrôles'!$U$111&lt;&gt;"","C3","Défaut API"))))</f>
        <v>Défaut API</v>
      </c>
      <c r="G79" s="71">
        <f>IF(B79="","",IF(E79="Exclusive",0,1))</f>
        <v>1</v>
      </c>
      <c r="H79" s="71">
        <f>IF(B79="","",IF(E79="Inclusive",1,0))</f>
        <v>1</v>
      </c>
      <c r="I79" s="73" t="n"/>
      <c r="J79" s="73" t="n"/>
      <c r="K79" s="73" t="n"/>
      <c r="L79" s="73" t="n"/>
      <c r="M79" s="73" t="n"/>
      <c r="N79" s="74">
        <f>IF(B79="","",IF(N(L79)&gt;0,I79/L79,0.2))</f>
        <v>0.2</v>
      </c>
      <c r="O79" s="74">
        <f>IF(B79="","",IF(N(L79)&gt;0,J79/L79,0.02))</f>
        <v>0.02</v>
      </c>
      <c r="P79" s="74">
        <f>IF(B79="","",IF(N(L79)&gt;0,IF(K79="",I79,K79)/L79,0.25))</f>
        <v>0.25</v>
      </c>
      <c r="Q79" s="69" t="inlineStr">
        <is>
          <t>gpt-5.4 (proxy)</t>
        </is>
      </c>
      <c r="R79" s="75" t="n">
        <v>0.0017884687</v>
      </c>
      <c r="S79" s="76" t="n">
        <v>1.2</v>
      </c>
      <c r="T79" s="75" t="n">
        <v>5.090409e-08</v>
      </c>
      <c r="U79" s="75" t="n">
        <v>2e-08</v>
      </c>
      <c r="V79" s="77" t="inlineStr">
        <is>
          <t>S</t>
        </is>
      </c>
      <c r="W79" s="78" t="n"/>
      <c r="X79" s="79">
        <f>IF(B79="","",R79*S79*P_Mix/1000000+IF(P_Fab="Oui",T79,0))</f>
        <v>1.60572990684e-07</v>
      </c>
      <c r="Y79" s="80">
        <f>IF(B79="","",IF(W79&lt;&gt;"",W79,IF(AND(P_Source="Table fournie",U79&lt;&gt;""),U79,X79)))</f>
        <v>2e-08</v>
      </c>
      <c r="Z79" s="70" t="str">
        <f>IF(B79="","",IF(W79&lt;&gt;"","Forcé",IF(AND(P_Source="Table fournie",U79&lt;&gt;""),IF(V79="H","Table (hypothèse)","Table (sourcé)"),"Calculateur de Boris")))</f>
        <v>Table (sourcé)</v>
      </c>
    </row>
    <row r="80">
      <c r="B80" s="69" t="inlineStr">
        <is>
          <t>GPT-5</t>
        </is>
      </c>
      <c r="C80" s="69" t="inlineStr">
        <is>
          <t>Hors grille</t>
        </is>
      </c>
      <c r="D80" s="69" t="n"/>
      <c r="E80" s="34" t="str">
        <f>IF(B80="","",IF(D80&lt;&gt;"",D80,IF('Contrôles'!$J$112&gt;0,"Exclusive",IF('Contrôles'!$U$112&lt;&gt;"",'Contrôles'!$U$112,IFERROR(INDEX(F_Conv,MATCH(C80,F_Fam,0)),"Inclusive")))))</f>
        <v>Inclusive</v>
      </c>
      <c r="F80" s="70" t="str">
        <f>IF(B80="","",IF(D80&lt;&gt;"","Forcée",IF('Contrôles'!$J$112&gt;0,"C2",IF('Contrôles'!$U$112&lt;&gt;"","C3","Défaut API"))))</f>
        <v>Défaut API</v>
      </c>
      <c r="G80" s="71">
        <f>IF(B80="","",IF(E80="Exclusive",0,1))</f>
        <v>1</v>
      </c>
      <c r="H80" s="71">
        <f>IF(B80="","",IF(E80="Inclusive",1,0))</f>
        <v>1</v>
      </c>
      <c r="I80" s="73" t="n"/>
      <c r="J80" s="73" t="n"/>
      <c r="K80" s="73" t="n"/>
      <c r="L80" s="73" t="n"/>
      <c r="M80" s="73" t="n"/>
      <c r="N80" s="74">
        <f>IF(B80="","",IF(N(L80)&gt;0,I80/L80,0.2))</f>
        <v>0.2</v>
      </c>
      <c r="O80" s="74">
        <f>IF(B80="","",IF(N(L80)&gt;0,J80/L80,0.02))</f>
        <v>0.02</v>
      </c>
      <c r="P80" s="74">
        <f>IF(B80="","",IF(N(L80)&gt;0,IF(K80="",I80,K80)/L80,0.25))</f>
        <v>0.25</v>
      </c>
      <c r="Q80" s="69" t="inlineStr">
        <is>
          <t>gpt-5.4 (proxy)</t>
        </is>
      </c>
      <c r="R80" s="75" t="n">
        <v>0.0017884687</v>
      </c>
      <c r="S80" s="76" t="n">
        <v>1.2</v>
      </c>
      <c r="T80" s="75" t="n">
        <v>5.090409e-08</v>
      </c>
      <c r="U80" s="75" t="n">
        <v>6.4628e-07</v>
      </c>
      <c r="V80" s="77" t="inlineStr">
        <is>
          <t>S</t>
        </is>
      </c>
      <c r="W80" s="78" t="n"/>
      <c r="X80" s="79">
        <f>IF(B80="","",R80*S80*P_Mix/1000000+IF(P_Fab="Oui",T80,0))</f>
        <v>1.60572990684e-07</v>
      </c>
      <c r="Y80" s="80">
        <f>IF(B80="","",IF(W80&lt;&gt;"",W80,IF(AND(P_Source="Table fournie",U80&lt;&gt;""),U80,X80)))</f>
        <v>6.4628e-07</v>
      </c>
      <c r="Z80" s="70" t="str">
        <f>IF(B80="","",IF(W80&lt;&gt;"","Forcé",IF(AND(P_Source="Table fournie",U80&lt;&gt;""),IF(V80="H","Table (hypothèse)","Table (sourcé)"),"Calculateur de Boris")))</f>
        <v>Table (sourcé)</v>
      </c>
    </row>
    <row r="81">
      <c r="B81" s="69" t="inlineStr">
        <is>
          <t>GPT-5 nano</t>
        </is>
      </c>
      <c r="C81" s="69" t="inlineStr">
        <is>
          <t>Hors grille</t>
        </is>
      </c>
      <c r="D81" s="69" t="n"/>
      <c r="E81" s="34" t="str">
        <f>IF(B81="","",IF(D81&lt;&gt;"",D81,IF('Contrôles'!$J$113&gt;0,"Exclusive",IF('Contrôles'!$U$113&lt;&gt;"",'Contrôles'!$U$113,IFERROR(INDEX(F_Conv,MATCH(C81,F_Fam,0)),"Inclusive")))))</f>
        <v>Inclusive</v>
      </c>
      <c r="F81" s="70" t="str">
        <f>IF(B81="","",IF(D81&lt;&gt;"","Forcée",IF('Contrôles'!$J$113&gt;0,"C2",IF('Contrôles'!$U$113&lt;&gt;"","C3","Défaut API"))))</f>
        <v>Défaut API</v>
      </c>
      <c r="G81" s="71">
        <f>IF(B81="","",IF(E81="Exclusive",0,1))</f>
        <v>1</v>
      </c>
      <c r="H81" s="71">
        <f>IF(B81="","",IF(E81="Inclusive",1,0))</f>
        <v>1</v>
      </c>
      <c r="I81" s="73" t="n"/>
      <c r="J81" s="73" t="n"/>
      <c r="K81" s="73" t="n"/>
      <c r="L81" s="73" t="n"/>
      <c r="M81" s="73" t="n"/>
      <c r="N81" s="74">
        <f>IF(B81="","",IF(N(L81)&gt;0,I81/L81,0.2))</f>
        <v>0.2</v>
      </c>
      <c r="O81" s="74">
        <f>IF(B81="","",IF(N(L81)&gt;0,J81/L81,0.02))</f>
        <v>0.02</v>
      </c>
      <c r="P81" s="74">
        <f>IF(B81="","",IF(N(L81)&gt;0,IF(K81="",I81,K81)/L81,0.25))</f>
        <v>0.25</v>
      </c>
      <c r="Q81" s="69" t="inlineStr">
        <is>
          <t>gpt-5.4 (proxy)</t>
        </is>
      </c>
      <c r="R81" s="75" t="n">
        <v>0.0017884687</v>
      </c>
      <c r="S81" s="76" t="n">
        <v>1.2</v>
      </c>
      <c r="T81" s="75" t="n">
        <v>5.090409e-08</v>
      </c>
      <c r="U81" s="75" t="n">
        <v>1.659e-08</v>
      </c>
      <c r="V81" s="77" t="inlineStr">
        <is>
          <t>S</t>
        </is>
      </c>
      <c r="W81" s="78" t="n"/>
      <c r="X81" s="79">
        <f>IF(B81="","",R81*S81*P_Mix/1000000+IF(P_Fab="Oui",T81,0))</f>
        <v>1.60572990684e-07</v>
      </c>
      <c r="Y81" s="80">
        <f>IF(B81="","",IF(W81&lt;&gt;"",W81,IF(AND(P_Source="Table fournie",U81&lt;&gt;""),U81,X81)))</f>
        <v>1.659e-08</v>
      </c>
      <c r="Z81" s="70" t="str">
        <f>IF(B81="","",IF(W81&lt;&gt;"","Forcé",IF(AND(P_Source="Table fournie",U81&lt;&gt;""),IF(V81="H","Table (hypothèse)","Table (sourcé)"),"Calculateur de Boris")))</f>
        <v>Table (sourcé)</v>
      </c>
    </row>
    <row r="82">
      <c r="B82" s="69" t="inlineStr">
        <is>
          <t>mistral-document-ai-2512</t>
        </is>
      </c>
      <c r="C82" s="69" t="inlineStr">
        <is>
          <t>Hors grille</t>
        </is>
      </c>
      <c r="D82" s="69" t="n"/>
      <c r="E82" s="34" t="str">
        <f>IF(B82="","",IF(D82&lt;&gt;"",D82,IF('Contrôles'!$J$114&gt;0,"Exclusive",IF('Contrôles'!$U$114&lt;&gt;"",'Contrôles'!$U$114,IFERROR(INDEX(F_Conv,MATCH(C82,F_Fam,0)),"Inclusive")))))</f>
        <v>Inclusive</v>
      </c>
      <c r="F82" s="70" t="str">
        <f>IF(B82="","",IF(D82&lt;&gt;"","Forcée",IF('Contrôles'!$J$114&gt;0,"C2",IF('Contrôles'!$U$114&lt;&gt;"","C3","Défaut API"))))</f>
        <v>Défaut API</v>
      </c>
      <c r="G82" s="71">
        <f>IF(B82="","",IF(E82="Exclusive",0,1))</f>
        <v>1</v>
      </c>
      <c r="H82" s="71">
        <f>IF(B82="","",IF(E82="Inclusive",1,0))</f>
        <v>1</v>
      </c>
      <c r="I82" s="73" t="n"/>
      <c r="J82" s="73" t="n"/>
      <c r="K82" s="73" t="n"/>
      <c r="L82" s="73" t="n"/>
      <c r="M82" s="73" t="n"/>
      <c r="N82" s="74">
        <f>IF(B82="","",IF(N(L82)&gt;0,I82/L82,0.2))</f>
        <v>0.2</v>
      </c>
      <c r="O82" s="74">
        <f>IF(B82="","",IF(N(L82)&gt;0,J82/L82,0.02))</f>
        <v>0.02</v>
      </c>
      <c r="P82" s="74">
        <f>IF(B82="","",IF(N(L82)&gt;0,IF(K82="",I82,K82)/L82,0.25))</f>
        <v>0.25</v>
      </c>
      <c r="Q82" s="69" t="inlineStr">
        <is>
          <t>gpt-5.4 (proxy)</t>
        </is>
      </c>
      <c r="R82" s="75" t="n">
        <v>0.0017884687</v>
      </c>
      <c r="S82" s="76" t="n">
        <v>1.2</v>
      </c>
      <c r="T82" s="75" t="n">
        <v>5.090409e-08</v>
      </c>
      <c r="U82" s="75" t="n">
        <v>4e-06</v>
      </c>
      <c r="V82" s="77" t="inlineStr">
        <is>
          <t>S</t>
        </is>
      </c>
      <c r="W82" s="78" t="n"/>
      <c r="X82" s="79">
        <f>IF(B82="","",R82*S82*P_Mix/1000000+IF(P_Fab="Oui",T82,0))</f>
        <v>1.60572990684e-07</v>
      </c>
      <c r="Y82" s="80">
        <f>IF(B82="","",IF(W82&lt;&gt;"",W82,IF(AND(P_Source="Table fournie",U82&lt;&gt;""),U82,X82)))</f>
        <v>4e-06</v>
      </c>
      <c r="Z82" s="70" t="str">
        <f>IF(B82="","",IF(W82&lt;&gt;"","Forcé",IF(AND(P_Source="Table fournie",U82&lt;&gt;""),IF(V82="H","Table (hypothèse)","Table (sourcé)"),"Calculateur de Boris")))</f>
        <v>Table (sourcé)</v>
      </c>
    </row>
    <row r="83">
      <c r="B83" s="69" t="inlineStr">
        <is>
          <t>mistral-large-2512</t>
        </is>
      </c>
      <c r="C83" s="69" t="inlineStr">
        <is>
          <t>Hors grille</t>
        </is>
      </c>
      <c r="D83" s="69" t="n"/>
      <c r="E83" s="34" t="str">
        <f>IF(B83="","",IF(D83&lt;&gt;"",D83,IF('Contrôles'!$J$115&gt;0,"Exclusive",IF('Contrôles'!$U$115&lt;&gt;"",'Contrôles'!$U$115,IFERROR(INDEX(F_Conv,MATCH(C83,F_Fam,0)),"Inclusive")))))</f>
        <v>Inclusive</v>
      </c>
      <c r="F83" s="70" t="str">
        <f>IF(B83="","",IF(D83&lt;&gt;"","Forcée",IF('Contrôles'!$J$115&gt;0,"C2",IF('Contrôles'!$U$115&lt;&gt;"","C3","Défaut API"))))</f>
        <v>Défaut API</v>
      </c>
      <c r="G83" s="71">
        <f>IF(B83="","",IF(E83="Exclusive",0,1))</f>
        <v>1</v>
      </c>
      <c r="H83" s="71">
        <f>IF(B83="","",IF(E83="Inclusive",1,0))</f>
        <v>1</v>
      </c>
      <c r="I83" s="73" t="n"/>
      <c r="J83" s="73" t="n"/>
      <c r="K83" s="73" t="n"/>
      <c r="L83" s="73" t="n"/>
      <c r="M83" s="73" t="n"/>
      <c r="N83" s="74">
        <f>IF(B83="","",IF(N(L83)&gt;0,I83/L83,0.2))</f>
        <v>0.2</v>
      </c>
      <c r="O83" s="74">
        <f>IF(B83="","",IF(N(L83)&gt;0,J83/L83,0.02))</f>
        <v>0.02</v>
      </c>
      <c r="P83" s="74">
        <f>IF(B83="","",IF(N(L83)&gt;0,IF(K83="",I83,K83)/L83,0.25))</f>
        <v>0.25</v>
      </c>
      <c r="Q83" s="69" t="inlineStr">
        <is>
          <t>gpt-5.4 (proxy)</t>
        </is>
      </c>
      <c r="R83" s="75" t="n">
        <v>0.0017884687</v>
      </c>
      <c r="S83" s="76" t="n">
        <v>1.2</v>
      </c>
      <c r="T83" s="75" t="n">
        <v>5.090409e-08</v>
      </c>
      <c r="U83" s="75" t="n">
        <v>1.3e-07</v>
      </c>
      <c r="V83" s="77" t="inlineStr">
        <is>
          <t>S</t>
        </is>
      </c>
      <c r="W83" s="78" t="n"/>
      <c r="X83" s="79">
        <f>IF(B83="","",R83*S83*P_Mix/1000000+IF(P_Fab="Oui",T83,0))</f>
        <v>1.60572990684e-07</v>
      </c>
      <c r="Y83" s="80">
        <f>IF(B83="","",IF(W83&lt;&gt;"",W83,IF(AND(P_Source="Table fournie",U83&lt;&gt;""),U83,X83)))</f>
        <v>1.3e-07</v>
      </c>
      <c r="Z83" s="70" t="str">
        <f>IF(B83="","",IF(W83&lt;&gt;"","Forcé",IF(AND(P_Source="Table fournie",U83&lt;&gt;""),IF(V83="H","Table (hypothèse)","Table (sourcé)"),"Calculateur de Boris")))</f>
        <v>Table (sourcé)</v>
      </c>
    </row>
    <row r="84">
      <c r="B84" s="69" t="inlineStr">
        <is>
          <t>mistral-medium-2505</t>
        </is>
      </c>
      <c r="C84" s="69" t="inlineStr">
        <is>
          <t>Hors grille</t>
        </is>
      </c>
      <c r="D84" s="69" t="n"/>
      <c r="E84" s="34" t="str">
        <f>IF(B84="","",IF(D84&lt;&gt;"",D84,IF('Contrôles'!$J$116&gt;0,"Exclusive",IF('Contrôles'!$U$116&lt;&gt;"",'Contrôles'!$U$116,IFERROR(INDEX(F_Conv,MATCH(C84,F_Fam,0)),"Inclusive")))))</f>
        <v>Inclusive</v>
      </c>
      <c r="F84" s="70" t="str">
        <f>IF(B84="","",IF(D84&lt;&gt;"","Forcée",IF('Contrôles'!$J$116&gt;0,"C2",IF('Contrôles'!$U$116&lt;&gt;"","C3","Défaut API"))))</f>
        <v>Défaut API</v>
      </c>
      <c r="G84" s="71">
        <f>IF(B84="","",IF(E84="Exclusive",0,1))</f>
        <v>1</v>
      </c>
      <c r="H84" s="71">
        <f>IF(B84="","",IF(E84="Inclusive",1,0))</f>
        <v>1</v>
      </c>
      <c r="I84" s="73" t="n"/>
      <c r="J84" s="73" t="n"/>
      <c r="K84" s="73" t="n"/>
      <c r="L84" s="73" t="n"/>
      <c r="M84" s="73" t="n"/>
      <c r="N84" s="74">
        <f>IF(B84="","",IF(N(L84)&gt;0,I84/L84,0.2))</f>
        <v>0.2</v>
      </c>
      <c r="O84" s="74">
        <f>IF(B84="","",IF(N(L84)&gt;0,J84/L84,0.02))</f>
        <v>0.02</v>
      </c>
      <c r="P84" s="74">
        <f>IF(B84="","",IF(N(L84)&gt;0,IF(K84="",I84,K84)/L84,0.25))</f>
        <v>0.25</v>
      </c>
      <c r="Q84" s="69" t="inlineStr">
        <is>
          <t>gpt-5.4 (proxy)</t>
        </is>
      </c>
      <c r="R84" s="75" t="n">
        <v>0.0017884687</v>
      </c>
      <c r="S84" s="76" t="n">
        <v>1.2</v>
      </c>
      <c r="T84" s="75" t="n">
        <v>5.090409e-08</v>
      </c>
      <c r="U84" s="75" t="n">
        <v>1.5e-07</v>
      </c>
      <c r="V84" s="77" t="inlineStr">
        <is>
          <t>S</t>
        </is>
      </c>
      <c r="W84" s="78" t="n"/>
      <c r="X84" s="79">
        <f>IF(B84="","",R84*S84*P_Mix/1000000+IF(P_Fab="Oui",T84,0))</f>
        <v>1.60572990684e-07</v>
      </c>
      <c r="Y84" s="80">
        <f>IF(B84="","",IF(W84&lt;&gt;"",W84,IF(AND(P_Source="Table fournie",U84&lt;&gt;""),U84,X84)))</f>
        <v>1.5e-07</v>
      </c>
      <c r="Z84" s="70" t="str">
        <f>IF(B84="","",IF(W84&lt;&gt;"","Forcé",IF(AND(P_Source="Table fournie",U84&lt;&gt;""),IF(V84="H","Table (hypothèse)","Table (sourcé)"),"Calculateur de Boris")))</f>
        <v>Table (sourcé)</v>
      </c>
    </row>
    <row r="85">
      <c r="B85" s="69" t="inlineStr">
        <is>
          <t>mistral-small-2503</t>
        </is>
      </c>
      <c r="C85" s="69" t="inlineStr">
        <is>
          <t>Hors grille</t>
        </is>
      </c>
      <c r="D85" s="69" t="n"/>
      <c r="E85" s="34" t="str">
        <f>IF(B85="","",IF(D85&lt;&gt;"",D85,IF('Contrôles'!$J$117&gt;0,"Exclusive",IF('Contrôles'!$U$117&lt;&gt;"",'Contrôles'!$U$117,IFERROR(INDEX(F_Conv,MATCH(C85,F_Fam,0)),"Inclusive")))))</f>
        <v>Inclusive</v>
      </c>
      <c r="F85" s="70" t="str">
        <f>IF(B85="","",IF(D85&lt;&gt;"","Forcée",IF('Contrôles'!$J$117&gt;0,"C2",IF('Contrôles'!$U$117&lt;&gt;"","C3","Défaut API"))))</f>
        <v>Défaut API</v>
      </c>
      <c r="G85" s="71">
        <f>IF(B85="","",IF(E85="Exclusive",0,1))</f>
        <v>1</v>
      </c>
      <c r="H85" s="71">
        <f>IF(B85="","",IF(E85="Inclusive",1,0))</f>
        <v>1</v>
      </c>
      <c r="I85" s="73" t="n"/>
      <c r="J85" s="73" t="n"/>
      <c r="K85" s="73" t="n"/>
      <c r="L85" s="73" t="n"/>
      <c r="M85" s="73" t="n"/>
      <c r="N85" s="74">
        <f>IF(B85="","",IF(N(L85)&gt;0,I85/L85,0.2))</f>
        <v>0.2</v>
      </c>
      <c r="O85" s="74">
        <f>IF(B85="","",IF(N(L85)&gt;0,J85/L85,0.02))</f>
        <v>0.02</v>
      </c>
      <c r="P85" s="74">
        <f>IF(B85="","",IF(N(L85)&gt;0,IF(K85="",I85,K85)/L85,0.25))</f>
        <v>0.25</v>
      </c>
      <c r="Q85" s="69" t="inlineStr">
        <is>
          <t>gpt-5.4 (proxy)</t>
        </is>
      </c>
      <c r="R85" s="75" t="n">
        <v>0.0017884687</v>
      </c>
      <c r="S85" s="76" t="n">
        <v>1.2</v>
      </c>
      <c r="T85" s="75" t="n">
        <v>5.090409e-08</v>
      </c>
      <c r="U85" s="75" t="n">
        <v>1e-08</v>
      </c>
      <c r="V85" s="77" t="inlineStr">
        <is>
          <t>S</t>
        </is>
      </c>
      <c r="W85" s="78" t="n"/>
      <c r="X85" s="79">
        <f>IF(B85="","",R85*S85*P_Mix/1000000+IF(P_Fab="Oui",T85,0))</f>
        <v>1.60572990684e-07</v>
      </c>
      <c r="Y85" s="80">
        <f>IF(B85="","",IF(W85&lt;&gt;"",W85,IF(AND(P_Source="Table fournie",U85&lt;&gt;""),U85,X85)))</f>
        <v>1e-08</v>
      </c>
      <c r="Z85" s="70" t="str">
        <f>IF(B85="","",IF(W85&lt;&gt;"","Forcé",IF(AND(P_Source="Table fournie",U85&lt;&gt;""),IF(V85="H","Table (hypothèse)","Table (sourcé)"),"Calculateur de Boris")))</f>
        <v>Table (sourcé)</v>
      </c>
    </row>
    <row r="86">
      <c r="B86" s="69" t="inlineStr">
        <is>
          <t>o3-mini (2025-01-31)</t>
        </is>
      </c>
      <c r="C86" s="69" t="inlineStr">
        <is>
          <t>Hors grille</t>
        </is>
      </c>
      <c r="D86" s="69" t="n"/>
      <c r="E86" s="34" t="str">
        <f>IF(B86="","",IF(D86&lt;&gt;"",D86,IF('Contrôles'!$J$118&gt;0,"Exclusive",IF('Contrôles'!$U$118&lt;&gt;"",'Contrôles'!$U$118,IFERROR(INDEX(F_Conv,MATCH(C86,F_Fam,0)),"Inclusive")))))</f>
        <v>Inclusive</v>
      </c>
      <c r="F86" s="70" t="str">
        <f>IF(B86="","",IF(D86&lt;&gt;"","Forcée",IF('Contrôles'!$J$118&gt;0,"C2",IF('Contrôles'!$U$118&lt;&gt;"","C3","Défaut API"))))</f>
        <v>Défaut API</v>
      </c>
      <c r="G86" s="71">
        <f>IF(B86="","",IF(E86="Exclusive",0,1))</f>
        <v>1</v>
      </c>
      <c r="H86" s="71">
        <f>IF(B86="","",IF(E86="Inclusive",1,0))</f>
        <v>1</v>
      </c>
      <c r="I86" s="73" t="n"/>
      <c r="J86" s="73" t="n"/>
      <c r="K86" s="73" t="n"/>
      <c r="L86" s="73" t="n"/>
      <c r="M86" s="73" t="n"/>
      <c r="N86" s="74">
        <f>IF(B86="","",IF(N(L86)&gt;0,I86/L86,0.2))</f>
        <v>0.2</v>
      </c>
      <c r="O86" s="74">
        <f>IF(B86="","",IF(N(L86)&gt;0,J86/L86,0.02))</f>
        <v>0.02</v>
      </c>
      <c r="P86" s="74">
        <f>IF(B86="","",IF(N(L86)&gt;0,IF(K86="",I86,K86)/L86,0.25))</f>
        <v>0.25</v>
      </c>
      <c r="Q86" s="69" t="inlineStr">
        <is>
          <t>gpt-5.4 (proxy)</t>
        </is>
      </c>
      <c r="R86" s="75" t="n">
        <v>0.0017884687</v>
      </c>
      <c r="S86" s="76" t="n">
        <v>1.2</v>
      </c>
      <c r="T86" s="75" t="n">
        <v>5.090409e-08</v>
      </c>
      <c r="U86" s="75" t="n">
        <v>3.2e-07</v>
      </c>
      <c r="V86" s="77" t="inlineStr">
        <is>
          <t>S</t>
        </is>
      </c>
      <c r="W86" s="78" t="n"/>
      <c r="X86" s="79">
        <f>IF(B86="","",R86*S86*P_Mix/1000000+IF(P_Fab="Oui",T86,0))</f>
        <v>1.60572990684e-07</v>
      </c>
      <c r="Y86" s="80">
        <f>IF(B86="","",IF(W86&lt;&gt;"",W86,IF(AND(P_Source="Table fournie",U86&lt;&gt;""),U86,X86)))</f>
        <v>3.2e-07</v>
      </c>
      <c r="Z86" s="70" t="str">
        <f>IF(B86="","",IF(W86&lt;&gt;"","Forcé",IF(AND(P_Source="Table fournie",U86&lt;&gt;""),IF(V86="H","Table (hypothèse)","Table (sourcé)"),"Calculateur de Boris")))</f>
        <v>Table (sourcé)</v>
      </c>
    </row>
    <row r="87">
      <c r="B87" s="69" t="inlineStr">
        <is>
          <t>o3-2025-04-16</t>
        </is>
      </c>
      <c r="C87" s="69" t="inlineStr">
        <is>
          <t>Hors grille</t>
        </is>
      </c>
      <c r="D87" s="69" t="n"/>
      <c r="E87" s="34" t="str">
        <f>IF(B87="","",IF(D87&lt;&gt;"",D87,IF('Contrôles'!$J$119&gt;0,"Exclusive",IF('Contrôles'!$U$119&lt;&gt;"",'Contrôles'!$U$119,IFERROR(INDEX(F_Conv,MATCH(C87,F_Fam,0)),"Inclusive")))))</f>
        <v>Inclusive</v>
      </c>
      <c r="F87" s="70" t="str">
        <f>IF(B87="","",IF(D87&lt;&gt;"","Forcée",IF('Contrôles'!$J$119&gt;0,"C2",IF('Contrôles'!$U$119&lt;&gt;"","C3","Défaut API"))))</f>
        <v>Défaut API</v>
      </c>
      <c r="G87" s="71">
        <f>IF(B87="","",IF(E87="Exclusive",0,1))</f>
        <v>1</v>
      </c>
      <c r="H87" s="71">
        <f>IF(B87="","",IF(E87="Inclusive",1,0))</f>
        <v>1</v>
      </c>
      <c r="I87" s="73" t="n"/>
      <c r="J87" s="73" t="n"/>
      <c r="K87" s="73" t="n"/>
      <c r="L87" s="73" t="n"/>
      <c r="M87" s="73" t="n"/>
      <c r="N87" s="74">
        <f>IF(B87="","",IF(N(L87)&gt;0,I87/L87,0.2))</f>
        <v>0.2</v>
      </c>
      <c r="O87" s="74">
        <f>IF(B87="","",IF(N(L87)&gt;0,J87/L87,0.02))</f>
        <v>0.02</v>
      </c>
      <c r="P87" s="74">
        <f>IF(B87="","",IF(N(L87)&gt;0,IF(K87="",I87,K87)/L87,0.25))</f>
        <v>0.25</v>
      </c>
      <c r="Q87" s="69" t="inlineStr">
        <is>
          <t>gpt-5.4 (proxy)</t>
        </is>
      </c>
      <c r="R87" s="75" t="n">
        <v>0.0017884687</v>
      </c>
      <c r="S87" s="76" t="n">
        <v>1.2</v>
      </c>
      <c r="T87" s="75" t="n">
        <v>5.090409e-08</v>
      </c>
      <c r="U87" s="75" t="n">
        <v>5e-07</v>
      </c>
      <c r="V87" s="77" t="inlineStr">
        <is>
          <t>S</t>
        </is>
      </c>
      <c r="W87" s="78" t="n"/>
      <c r="X87" s="79">
        <f>IF(B87="","",R87*S87*P_Mix/1000000+IF(P_Fab="Oui",T87,0))</f>
        <v>1.60572990684e-07</v>
      </c>
      <c r="Y87" s="80">
        <f>IF(B87="","",IF(W87&lt;&gt;"",W87,IF(AND(P_Source="Table fournie",U87&lt;&gt;""),U87,X87)))</f>
        <v>5e-07</v>
      </c>
      <c r="Z87" s="70" t="str">
        <f>IF(B87="","",IF(W87&lt;&gt;"","Forcé",IF(AND(P_Source="Table fournie",U87&lt;&gt;""),IF(V87="H","Table (hypothèse)","Table (sourcé)"),"Calculateur de Boris")))</f>
        <v>Table (sourcé)</v>
      </c>
    </row>
    <row r="88">
      <c r="B88" s="69" t="inlineStr">
        <is>
          <t>o4-mini-2025-04-16</t>
        </is>
      </c>
      <c r="C88" s="69" t="inlineStr">
        <is>
          <t>Hors grille</t>
        </is>
      </c>
      <c r="D88" s="69" t="n"/>
      <c r="E88" s="34" t="str">
        <f>IF(B88="","",IF(D88&lt;&gt;"",D88,IF('Contrôles'!$J$120&gt;0,"Exclusive",IF('Contrôles'!$U$120&lt;&gt;"",'Contrôles'!$U$120,IFERROR(INDEX(F_Conv,MATCH(C88,F_Fam,0)),"Inclusive")))))</f>
        <v>Inclusive</v>
      </c>
      <c r="F88" s="70" t="str">
        <f>IF(B88="","",IF(D88&lt;&gt;"","Forcée",IF('Contrôles'!$J$120&gt;0,"C2",IF('Contrôles'!$U$120&lt;&gt;"","C3","Défaut API"))))</f>
        <v>Défaut API</v>
      </c>
      <c r="G88" s="71">
        <f>IF(B88="","",IF(E88="Exclusive",0,1))</f>
        <v>1</v>
      </c>
      <c r="H88" s="71">
        <f>IF(B88="","",IF(E88="Inclusive",1,0))</f>
        <v>1</v>
      </c>
      <c r="I88" s="73" t="n"/>
      <c r="J88" s="73" t="n"/>
      <c r="K88" s="73" t="n"/>
      <c r="L88" s="73" t="n"/>
      <c r="M88" s="73" t="n"/>
      <c r="N88" s="74">
        <f>IF(B88="","",IF(N(L88)&gt;0,I88/L88,0.2))</f>
        <v>0.2</v>
      </c>
      <c r="O88" s="74">
        <f>IF(B88="","",IF(N(L88)&gt;0,J88/L88,0.02))</f>
        <v>0.02</v>
      </c>
      <c r="P88" s="74">
        <f>IF(B88="","",IF(N(L88)&gt;0,IF(K88="",I88,K88)/L88,0.25))</f>
        <v>0.25</v>
      </c>
      <c r="Q88" s="69" t="inlineStr">
        <is>
          <t>gpt-5.4 (proxy)</t>
        </is>
      </c>
      <c r="R88" s="75" t="n">
        <v>0.0017884687</v>
      </c>
      <c r="S88" s="76" t="n">
        <v>1.2</v>
      </c>
      <c r="T88" s="75" t="n">
        <v>5.090409e-08</v>
      </c>
      <c r="U88" s="75" t="n">
        <v>3.2e-07</v>
      </c>
      <c r="V88" s="77" t="inlineStr">
        <is>
          <t>S</t>
        </is>
      </c>
      <c r="W88" s="78" t="n"/>
      <c r="X88" s="79">
        <f>IF(B88="","",R88*S88*P_Mix/1000000+IF(P_Fab="Oui",T88,0))</f>
        <v>1.60572990684e-07</v>
      </c>
      <c r="Y88" s="80">
        <f>IF(B88="","",IF(W88&lt;&gt;"",W88,IF(AND(P_Source="Table fournie",U88&lt;&gt;""),U88,X88)))</f>
        <v>3.2e-07</v>
      </c>
      <c r="Z88" s="70" t="str">
        <f>IF(B88="","",IF(W88&lt;&gt;"","Forcé",IF(AND(P_Source="Table fournie",U88&lt;&gt;""),IF(V88="H","Table (hypothèse)","Table (sourcé)"),"Calculateur de Boris")))</f>
        <v>Table (sourcé)</v>
      </c>
    </row>
    <row r="89">
      <c r="B89" s="69" t="inlineStr">
        <is>
          <t>text-embedding-3-large-1</t>
        </is>
      </c>
      <c r="C89" s="69" t="inlineStr">
        <is>
          <t>Hors grille</t>
        </is>
      </c>
      <c r="D89" s="69" t="n"/>
      <c r="E89" s="34" t="str">
        <f>IF(B89="","",IF(D89&lt;&gt;"",D89,IF('Contrôles'!$J$121&gt;0,"Exclusive",IF('Contrôles'!$U$121&lt;&gt;"",'Contrôles'!$U$121,IFERROR(INDEX(F_Conv,MATCH(C89,F_Fam,0)),"Inclusive")))))</f>
        <v>Inclusive</v>
      </c>
      <c r="F89" s="70" t="str">
        <f>IF(B89="","",IF(D89&lt;&gt;"","Forcée",IF('Contrôles'!$J$121&gt;0,"C2",IF('Contrôles'!$U$121&lt;&gt;"","C3","Défaut API"))))</f>
        <v>Défaut API</v>
      </c>
      <c r="G89" s="71">
        <f>IF(B89="","",IF(E89="Exclusive",0,1))</f>
        <v>1</v>
      </c>
      <c r="H89" s="71">
        <f>IF(B89="","",IF(E89="Inclusive",1,0))</f>
        <v>1</v>
      </c>
      <c r="I89" s="73" t="n"/>
      <c r="J89" s="73" t="n"/>
      <c r="K89" s="73" t="n"/>
      <c r="L89" s="73" t="n"/>
      <c r="M89" s="73" t="n"/>
      <c r="N89" s="74">
        <f>IF(B89="","",IF(N(L89)&gt;0,I89/L89,0.2))</f>
        <v>0.2</v>
      </c>
      <c r="O89" s="74">
        <f>IF(B89="","",IF(N(L89)&gt;0,J89/L89,0.02))</f>
        <v>0.02</v>
      </c>
      <c r="P89" s="74">
        <f>IF(B89="","",IF(N(L89)&gt;0,IF(K89="",I89,K89)/L89,0.25))</f>
        <v>0.25</v>
      </c>
      <c r="Q89" s="69" t="inlineStr">
        <is>
          <t>gpt-5.4 (proxy)</t>
        </is>
      </c>
      <c r="R89" s="75" t="n">
        <v>0.0017884687</v>
      </c>
      <c r="S89" s="76" t="n">
        <v>1.2</v>
      </c>
      <c r="T89" s="75" t="n">
        <v>5.090409e-08</v>
      </c>
      <c r="U89" s="75" t="n">
        <v>1e-08</v>
      </c>
      <c r="V89" s="77" t="inlineStr">
        <is>
          <t>S</t>
        </is>
      </c>
      <c r="W89" s="78" t="n"/>
      <c r="X89" s="79">
        <f>IF(B89="","",R89*S89*P_Mix/1000000+IF(P_Fab="Oui",T89,0))</f>
        <v>1.60572990684e-07</v>
      </c>
      <c r="Y89" s="80">
        <f>IF(B89="","",IF(W89&lt;&gt;"",W89,IF(AND(P_Source="Table fournie",U89&lt;&gt;""),U89,X89)))</f>
        <v>1e-08</v>
      </c>
      <c r="Z89" s="70" t="str">
        <f>IF(B89="","",IF(W89&lt;&gt;"","Forcé",IF(AND(P_Source="Table fournie",U89&lt;&gt;""),IF(V89="H","Table (hypothèse)","Table (sourcé)"),"Calculateur de Boris")))</f>
        <v>Table (sourcé)</v>
      </c>
    </row>
    <row r="90">
      <c r="B90" s="69" t="inlineStr">
        <is>
          <t>text-embedding-ada-002</t>
        </is>
      </c>
      <c r="C90" s="69" t="inlineStr">
        <is>
          <t>Hors grille</t>
        </is>
      </c>
      <c r="D90" s="69" t="n"/>
      <c r="E90" s="34" t="str">
        <f>IF(B90="","",IF(D90&lt;&gt;"",D90,IF('Contrôles'!$J$122&gt;0,"Exclusive",IF('Contrôles'!$U$122&lt;&gt;"",'Contrôles'!$U$122,IFERROR(INDEX(F_Conv,MATCH(C90,F_Fam,0)),"Inclusive")))))</f>
        <v>Inclusive</v>
      </c>
      <c r="F90" s="70" t="str">
        <f>IF(B90="","",IF(D90&lt;&gt;"","Forcée",IF('Contrôles'!$J$122&gt;0,"C2",IF('Contrôles'!$U$122&lt;&gt;"","C3","Défaut API"))))</f>
        <v>Défaut API</v>
      </c>
      <c r="G90" s="71">
        <f>IF(B90="","",IF(E90="Exclusive",0,1))</f>
        <v>1</v>
      </c>
      <c r="H90" s="71">
        <f>IF(B90="","",IF(E90="Inclusive",1,0))</f>
        <v>1</v>
      </c>
      <c r="I90" s="73" t="n"/>
      <c r="J90" s="73" t="n"/>
      <c r="K90" s="73" t="n"/>
      <c r="L90" s="73" t="n"/>
      <c r="M90" s="73" t="n"/>
      <c r="N90" s="74">
        <f>IF(B90="","",IF(N(L90)&gt;0,I90/L90,0.2))</f>
        <v>0.2</v>
      </c>
      <c r="O90" s="74">
        <f>IF(B90="","",IF(N(L90)&gt;0,J90/L90,0.02))</f>
        <v>0.02</v>
      </c>
      <c r="P90" s="74">
        <f>IF(B90="","",IF(N(L90)&gt;0,IF(K90="",I90,K90)/L90,0.25))</f>
        <v>0.25</v>
      </c>
      <c r="Q90" s="69" t="inlineStr">
        <is>
          <t>gpt-5.4 (proxy)</t>
        </is>
      </c>
      <c r="R90" s="75" t="n">
        <v>0.0017884687</v>
      </c>
      <c r="S90" s="76" t="n">
        <v>1.2</v>
      </c>
      <c r="T90" s="75" t="n">
        <v>5.090409e-08</v>
      </c>
      <c r="U90" s="75" t="n">
        <v>1e-08</v>
      </c>
      <c r="V90" s="77" t="inlineStr">
        <is>
          <t>S</t>
        </is>
      </c>
      <c r="W90" s="78" t="n"/>
      <c r="X90" s="79">
        <f>IF(B90="","",R90*S90*P_Mix/1000000+IF(P_Fab="Oui",T90,0))</f>
        <v>1.60572990684e-07</v>
      </c>
      <c r="Y90" s="80">
        <f>IF(B90="","",IF(W90&lt;&gt;"",W90,IF(AND(P_Source="Table fournie",U90&lt;&gt;""),U90,X90)))</f>
        <v>1e-08</v>
      </c>
      <c r="Z90" s="70" t="str">
        <f>IF(B90="","",IF(W90&lt;&gt;"","Forcé",IF(AND(P_Source="Table fournie",U90&lt;&gt;""),IF(V90="H","Table (hypothèse)","Table (sourcé)"),"Calculateur de Boris")))</f>
        <v>Table (sourcé)</v>
      </c>
    </row>
    <row r="91">
      <c r="B91" s="69" t="inlineStr">
        <is>
          <t>qwen3-235b-a22b-instruct-2507</t>
        </is>
      </c>
      <c r="C91" s="69" t="inlineStr">
        <is>
          <t>Hors grille</t>
        </is>
      </c>
      <c r="D91" s="69" t="n"/>
      <c r="E91" s="34" t="str">
        <f>IF(B91="","",IF(D91&lt;&gt;"",D91,IF('Contrôles'!$J$123&gt;0,"Exclusive",IF('Contrôles'!$U$123&lt;&gt;"",'Contrôles'!$U$123,IFERROR(INDEX(F_Conv,MATCH(C91,F_Fam,0)),"Inclusive")))))</f>
        <v>Inclusive</v>
      </c>
      <c r="F91" s="70" t="str">
        <f>IF(B91="","",IF(D91&lt;&gt;"","Forcée",IF('Contrôles'!$J$123&gt;0,"C2",IF('Contrôles'!$U$123&lt;&gt;"","C3","Défaut API"))))</f>
        <v>Défaut API</v>
      </c>
      <c r="G91" s="71">
        <f>IF(B91="","",IF(E91="Exclusive",0,1))</f>
        <v>1</v>
      </c>
      <c r="H91" s="71">
        <f>IF(B91="","",IF(E91="Inclusive",1,0))</f>
        <v>1</v>
      </c>
      <c r="I91" s="73" t="n"/>
      <c r="J91" s="73" t="n"/>
      <c r="K91" s="73" t="n"/>
      <c r="L91" s="73" t="n"/>
      <c r="M91" s="73" t="n"/>
      <c r="N91" s="74">
        <f>IF(B91="","",IF(N(L91)&gt;0,I91/L91,0.2))</f>
        <v>0.2</v>
      </c>
      <c r="O91" s="74">
        <f>IF(B91="","",IF(N(L91)&gt;0,J91/L91,0.02))</f>
        <v>0.02</v>
      </c>
      <c r="P91" s="74">
        <f>IF(B91="","",IF(N(L91)&gt;0,IF(K91="",I91,K91)/L91,0.25))</f>
        <v>0.25</v>
      </c>
      <c r="Q91" s="69" t="inlineStr">
        <is>
          <t>gpt-5.4 (proxy)</t>
        </is>
      </c>
      <c r="R91" s="75" t="n">
        <v>0.0017884687</v>
      </c>
      <c r="S91" s="76" t="n">
        <v>1.2</v>
      </c>
      <c r="T91" s="75" t="n">
        <v>5.090409e-08</v>
      </c>
      <c r="U91" s="75" t="n">
        <v>0</v>
      </c>
      <c r="V91" s="77" t="inlineStr">
        <is>
          <t>S</t>
        </is>
      </c>
      <c r="W91" s="78" t="n"/>
      <c r="X91" s="79">
        <f>IF(B91="","",R91*S91*P_Mix/1000000+IF(P_Fab="Oui",T91,0))</f>
        <v>1.60572990684e-07</v>
      </c>
      <c r="Y91" s="80">
        <f>IF(B91="","",IF(W91&lt;&gt;"",W91,IF(AND(P_Source="Table fournie",U91&lt;&gt;""),U91,X91)))</f>
        <v>0</v>
      </c>
      <c r="Z91" s="70" t="str">
        <f>IF(B91="","",IF(W91&lt;&gt;"","Forcé",IF(AND(P_Source="Table fournie",U91&lt;&gt;""),IF(V91="H","Table (hypothèse)","Table (sourcé)"),"Calculateur de Boris")))</f>
        <v>Table (sourcé)</v>
      </c>
    </row>
    <row r="92">
      <c r="B92" s="69" t="inlineStr">
        <is>
          <t>Code Review model</t>
        </is>
      </c>
      <c r="C92" s="69" t="inlineStr">
        <is>
          <t>Hors grille</t>
        </is>
      </c>
      <c r="D92" s="69" t="n"/>
      <c r="E92" s="34" t="str">
        <f>IF(B92="","",IF(D92&lt;&gt;"",D92,IF('Contrôles'!$J$124&gt;0,"Exclusive",IF('Contrôles'!$U$124&lt;&gt;"",'Contrôles'!$U$124,IFERROR(INDEX(F_Conv,MATCH(C92,F_Fam,0)),"Inclusive")))))</f>
        <v>Inclusive</v>
      </c>
      <c r="F92" s="70" t="str">
        <f>IF(B92="","",IF(D92&lt;&gt;"","Forcée",IF('Contrôles'!$J$124&gt;0,"C2",IF('Contrôles'!$U$124&lt;&gt;"","C3","Défaut API"))))</f>
        <v>Défaut API</v>
      </c>
      <c r="G92" s="71">
        <f>IF(B92="","",IF(E92="Exclusive",0,1))</f>
        <v>1</v>
      </c>
      <c r="H92" s="71">
        <f>IF(B92="","",IF(E92="Inclusive",1,0))</f>
        <v>1</v>
      </c>
      <c r="I92" s="73" t="n"/>
      <c r="J92" s="73" t="n"/>
      <c r="K92" s="73" t="n"/>
      <c r="L92" s="73" t="n"/>
      <c r="M92" s="73" t="n"/>
      <c r="N92" s="74">
        <f>IF(B92="","",IF(N(L92)&gt;0,I92/L92,0.2))</f>
        <v>0.2</v>
      </c>
      <c r="O92" s="74">
        <f>IF(B92="","",IF(N(L92)&gt;0,J92/L92,0.02))</f>
        <v>0.02</v>
      </c>
      <c r="P92" s="74">
        <f>IF(B92="","",IF(N(L92)&gt;0,IF(K92="",I92,K92)/L92,0.25))</f>
        <v>0.25</v>
      </c>
      <c r="Q92" s="69" t="inlineStr">
        <is>
          <t>gpt-5.4 (proxy)</t>
        </is>
      </c>
      <c r="R92" s="75" t="n">
        <v>0.0017884687</v>
      </c>
      <c r="S92" s="76" t="n">
        <v>1.2</v>
      </c>
      <c r="T92" s="75" t="n">
        <v>5.090409e-08</v>
      </c>
      <c r="U92" s="75" t="n">
        <v>1e-08</v>
      </c>
      <c r="V92" s="77" t="inlineStr">
        <is>
          <t>H</t>
        </is>
      </c>
      <c r="W92" s="78" t="n"/>
      <c r="X92" s="79">
        <f>IF(B92="","",R92*S92*P_Mix/1000000+IF(P_Fab="Oui",T92,0))</f>
        <v>1.60572990684e-07</v>
      </c>
      <c r="Y92" s="80">
        <f>IF(B92="","",IF(W92&lt;&gt;"",W92,IF(AND(P_Source="Table fournie",U92&lt;&gt;""),U92,X92)))</f>
        <v>1e-08</v>
      </c>
      <c r="Z92" s="70" t="str">
        <f>IF(B92="","",IF(W92&lt;&gt;"","Forcé",IF(AND(P_Source="Table fournie",U92&lt;&gt;""),IF(V92="H","Table (hypothèse)","Table (sourcé)"),"Calculateur de Boris")))</f>
        <v>Table (hypothèse)</v>
      </c>
    </row>
    <row r="93">
      <c r="B93" s="69" t="inlineStr">
        <is>
          <t>(Autre modèle)</t>
        </is>
      </c>
      <c r="C93" s="69" t="inlineStr">
        <is>
          <t>Hors grille</t>
        </is>
      </c>
      <c r="D93" s="69" t="n"/>
      <c r="E93" s="34" t="str">
        <f>IF(B93="","",IF(D93&lt;&gt;"",D93,IF('Contrôles'!$J$125&gt;0,"Exclusive",IF('Contrôles'!$U$125&lt;&gt;"",'Contrôles'!$U$125,IFERROR(INDEX(F_Conv,MATCH(C93,F_Fam,0)),"Inclusive")))))</f>
        <v>Inclusive</v>
      </c>
      <c r="F93" s="70" t="str">
        <f>IF(B93="","",IF(D93&lt;&gt;"","Forcée",IF('Contrôles'!$J$125&gt;0,"C2",IF('Contrôles'!$U$125&lt;&gt;"","C3","Défaut API"))))</f>
        <v>Défaut API</v>
      </c>
      <c r="G93" s="71">
        <f>IF(B93="","",IF(E93="Exclusive",0,1))</f>
        <v>1</v>
      </c>
      <c r="H93" s="71">
        <f>IF(B93="","",IF(E93="Inclusive",1,0))</f>
        <v>1</v>
      </c>
      <c r="I93" s="73" t="n"/>
      <c r="J93" s="73" t="n"/>
      <c r="K93" s="73" t="n"/>
      <c r="L93" s="73" t="n"/>
      <c r="M93" s="73" t="n"/>
      <c r="N93" s="74">
        <f>IF(B93="","",IF(N(L93)&gt;0,I93/L93,0.2))</f>
        <v>0.2</v>
      </c>
      <c r="O93" s="74">
        <f>IF(B93="","",IF(N(L93)&gt;0,J93/L93,0.02))</f>
        <v>0.02</v>
      </c>
      <c r="P93" s="74">
        <f>IF(B93="","",IF(N(L93)&gt;0,IF(K93="",I93,K93)/L93,0.25))</f>
        <v>0.25</v>
      </c>
      <c r="Q93" s="69" t="inlineStr">
        <is>
          <t>gpt-5.4 (proxy)</t>
        </is>
      </c>
      <c r="R93" s="75" t="n">
        <v>0.0017884687</v>
      </c>
      <c r="S93" s="76" t="n">
        <v>1.2</v>
      </c>
      <c r="T93" s="75" t="n">
        <v>5.090409e-08</v>
      </c>
      <c r="U93" s="73" t="n"/>
      <c r="V93" s="73" t="n"/>
      <c r="W93" s="78" t="n"/>
      <c r="X93" s="79">
        <f>IF(B93="","",R93*S93*P_Mix/1000000+IF(P_Fab="Oui",T93,0))</f>
        <v>1.60572990684e-07</v>
      </c>
      <c r="Y93" s="80">
        <f>IF(B93="","",IF(W93&lt;&gt;"",W93,IF(AND(P_Source="Table fournie",U93&lt;&gt;""),U93,X93)))</f>
        <v>1.60572990684e-07</v>
      </c>
      <c r="Z93" s="70" t="str">
        <f>IF(B93="","",IF(W93&lt;&gt;"","Forcé",IF(AND(P_Source="Table fournie",U93&lt;&gt;""),IF(V93="H","Table (hypothèse)","Table (sourcé)"),"Calculateur de Boris")))</f>
        <v>Calculateur de Boris</v>
      </c>
    </row>
    <row r="94">
      <c r="B94" s="69" t="n"/>
      <c r="C94" s="69" t="n"/>
      <c r="D94" s="69" t="n"/>
      <c r="E94" s="34" t="str">
        <f>IF(B94="","",IF(D94&lt;&gt;"",D94,IF('Contrôles'!$J$126&gt;0,"Exclusive",IF('Contrôles'!$U$126&lt;&gt;"",'Contrôles'!$U$126,IFERROR(INDEX(F_Conv,MATCH(C94,F_Fam,0)),"Inclusive")))))</f>
        <v/>
      </c>
      <c r="F94" s="70" t="str">
        <f>IF(B94="","",IF(D94&lt;&gt;"","Forcée",IF('Contrôles'!$J$126&gt;0,"C2",IF('Contrôles'!$U$126&lt;&gt;"","C3","Défaut API"))))</f>
        <v/>
      </c>
      <c r="G94" s="71" t="str">
        <f>IF(B94="","",IF(E94="Exclusive",0,1))</f>
        <v/>
      </c>
      <c r="H94" s="71" t="str">
        <f>IF(B94="","",IF(E94="Inclusive",1,0))</f>
        <v/>
      </c>
      <c r="I94" s="69" t="n"/>
      <c r="J94" s="69" t="n"/>
      <c r="K94" s="69" t="n"/>
      <c r="L94" s="69" t="n"/>
      <c r="M94" s="69" t="n"/>
      <c r="N94" s="74" t="str">
        <f>IF(B94="","",IF(N(L94)&gt;0,I94/L94,0.2))</f>
        <v/>
      </c>
      <c r="O94" s="74" t="str">
        <f>IF(B94="","",IF(N(L94)&gt;0,J94/L94,0.02))</f>
        <v/>
      </c>
      <c r="P94" s="74" t="str">
        <f>IF(B94="","",IF(N(L94)&gt;0,IF(K94="",I94,K94)/L94,0.25))</f>
        <v/>
      </c>
      <c r="Q94" s="69" t="n"/>
      <c r="R94" s="69" t="n"/>
      <c r="S94" s="69" t="n"/>
      <c r="T94" s="69" t="n"/>
      <c r="U94" s="69" t="n"/>
      <c r="V94" s="69" t="n"/>
      <c r="W94" s="78" t="n"/>
      <c r="X94" s="79" t="str">
        <f>IF(B94="","",R94*S94*P_Mix/1000000+IF(P_Fab="Oui",T94,0))</f>
        <v/>
      </c>
      <c r="Y94" s="80" t="str">
        <f>IF(B94="","",IF(W94&lt;&gt;"",W94,IF(AND(P_Source="Table fournie",U94&lt;&gt;""),U94,X94)))</f>
        <v/>
      </c>
      <c r="Z94" s="70" t="str">
        <f>IF(B94="","",IF(W94&lt;&gt;"","Forcé",IF(AND(P_Source="Table fournie",U94&lt;&gt;""),IF(V94="H","Table (hypothèse)","Table (sourcé)"),"Calculateur de Boris")))</f>
        <v/>
      </c>
    </row>
    <row r="95">
      <c r="B95" s="69" t="n"/>
      <c r="C95" s="69" t="n"/>
      <c r="D95" s="69" t="n"/>
      <c r="E95" s="34" t="str">
        <f>IF(B95="","",IF(D95&lt;&gt;"",D95,IF('Contrôles'!$J$127&gt;0,"Exclusive",IF('Contrôles'!$U$127&lt;&gt;"",'Contrôles'!$U$127,IFERROR(INDEX(F_Conv,MATCH(C95,F_Fam,0)),"Inclusive")))))</f>
        <v/>
      </c>
      <c r="F95" s="70" t="str">
        <f>IF(B95="","",IF(D95&lt;&gt;"","Forcée",IF('Contrôles'!$J$127&gt;0,"C2",IF('Contrôles'!$U$127&lt;&gt;"","C3","Défaut API"))))</f>
        <v/>
      </c>
      <c r="G95" s="71" t="str">
        <f>IF(B95="","",IF(E95="Exclusive",0,1))</f>
        <v/>
      </c>
      <c r="H95" s="71" t="str">
        <f>IF(B95="","",IF(E95="Inclusive",1,0))</f>
        <v/>
      </c>
      <c r="I95" s="69" t="n"/>
      <c r="J95" s="69" t="n"/>
      <c r="K95" s="69" t="n"/>
      <c r="L95" s="69" t="n"/>
      <c r="M95" s="69" t="n"/>
      <c r="N95" s="74" t="str">
        <f>IF(B95="","",IF(N(L95)&gt;0,I95/L95,0.2))</f>
        <v/>
      </c>
      <c r="O95" s="74" t="str">
        <f>IF(B95="","",IF(N(L95)&gt;0,J95/L95,0.02))</f>
        <v/>
      </c>
      <c r="P95" s="74" t="str">
        <f>IF(B95="","",IF(N(L95)&gt;0,IF(K95="",I95,K95)/L95,0.25))</f>
        <v/>
      </c>
      <c r="Q95" s="69" t="n"/>
      <c r="R95" s="69" t="n"/>
      <c r="S95" s="69" t="n"/>
      <c r="T95" s="69" t="n"/>
      <c r="U95" s="69" t="n"/>
      <c r="V95" s="69" t="n"/>
      <c r="W95" s="78" t="n"/>
      <c r="X95" s="79" t="str">
        <f>IF(B95="","",R95*S95*P_Mix/1000000+IF(P_Fab="Oui",T95,0))</f>
        <v/>
      </c>
      <c r="Y95" s="80" t="str">
        <f>IF(B95="","",IF(W95&lt;&gt;"",W95,IF(AND(P_Source="Table fournie",U95&lt;&gt;""),U95,X95)))</f>
        <v/>
      </c>
      <c r="Z95" s="70" t="str">
        <f>IF(B95="","",IF(W95&lt;&gt;"","Forcé",IF(AND(P_Source="Table fournie",U95&lt;&gt;""),IF(V95="H","Table (hypothèse)","Table (sourcé)"),"Calculateur de Boris")))</f>
        <v/>
      </c>
    </row>
    <row r="96">
      <c r="B96" s="69" t="n"/>
      <c r="C96" s="69" t="n"/>
      <c r="D96" s="69" t="n"/>
      <c r="E96" s="34" t="str">
        <f>IF(B96="","",IF(D96&lt;&gt;"",D96,IF('Contrôles'!$J$128&gt;0,"Exclusive",IF('Contrôles'!$U$128&lt;&gt;"",'Contrôles'!$U$128,IFERROR(INDEX(F_Conv,MATCH(C96,F_Fam,0)),"Inclusive")))))</f>
        <v/>
      </c>
      <c r="F96" s="70" t="str">
        <f>IF(B96="","",IF(D96&lt;&gt;"","Forcée",IF('Contrôles'!$J$128&gt;0,"C2",IF('Contrôles'!$U$128&lt;&gt;"","C3","Défaut API"))))</f>
        <v/>
      </c>
      <c r="G96" s="71" t="str">
        <f>IF(B96="","",IF(E96="Exclusive",0,1))</f>
        <v/>
      </c>
      <c r="H96" s="71" t="str">
        <f>IF(B96="","",IF(E96="Inclusive",1,0))</f>
        <v/>
      </c>
      <c r="I96" s="69" t="n"/>
      <c r="J96" s="69" t="n"/>
      <c r="K96" s="69" t="n"/>
      <c r="L96" s="69" t="n"/>
      <c r="M96" s="69" t="n"/>
      <c r="N96" s="74" t="str">
        <f>IF(B96="","",IF(N(L96)&gt;0,I96/L96,0.2))</f>
        <v/>
      </c>
      <c r="O96" s="74" t="str">
        <f>IF(B96="","",IF(N(L96)&gt;0,J96/L96,0.02))</f>
        <v/>
      </c>
      <c r="P96" s="74" t="str">
        <f>IF(B96="","",IF(N(L96)&gt;0,IF(K96="",I96,K96)/L96,0.25))</f>
        <v/>
      </c>
      <c r="Q96" s="69" t="n"/>
      <c r="R96" s="69" t="n"/>
      <c r="S96" s="69" t="n"/>
      <c r="T96" s="69" t="n"/>
      <c r="U96" s="69" t="n"/>
      <c r="V96" s="69" t="n"/>
      <c r="W96" s="78" t="n"/>
      <c r="X96" s="79" t="str">
        <f>IF(B96="","",R96*S96*P_Mix/1000000+IF(P_Fab="Oui",T96,0))</f>
        <v/>
      </c>
      <c r="Y96" s="80" t="str">
        <f>IF(B96="","",IF(W96&lt;&gt;"",W96,IF(AND(P_Source="Table fournie",U96&lt;&gt;""),U96,X96)))</f>
        <v/>
      </c>
      <c r="Z96" s="70" t="str">
        <f>IF(B96="","",IF(W96&lt;&gt;"","Forcé",IF(AND(P_Source="Table fournie",U96&lt;&gt;""),IF(V96="H","Table (hypothèse)","Table (sourcé)"),"Calculateur de Boris")))</f>
        <v/>
      </c>
    </row>
    <row r="97">
      <c r="B97" s="69" t="n"/>
      <c r="C97" s="69" t="n"/>
      <c r="D97" s="69" t="n"/>
      <c r="E97" s="34" t="str">
        <f>IF(B97="","",IF(D97&lt;&gt;"",D97,IF('Contrôles'!$J$129&gt;0,"Exclusive",IF('Contrôles'!$U$129&lt;&gt;"",'Contrôles'!$U$129,IFERROR(INDEX(F_Conv,MATCH(C97,F_Fam,0)),"Inclusive")))))</f>
        <v/>
      </c>
      <c r="F97" s="70" t="str">
        <f>IF(B97="","",IF(D97&lt;&gt;"","Forcée",IF('Contrôles'!$J$129&gt;0,"C2",IF('Contrôles'!$U$129&lt;&gt;"","C3","Défaut API"))))</f>
        <v/>
      </c>
      <c r="G97" s="71" t="str">
        <f>IF(B97="","",IF(E97="Exclusive",0,1))</f>
        <v/>
      </c>
      <c r="H97" s="71" t="str">
        <f>IF(B97="","",IF(E97="Inclusive",1,0))</f>
        <v/>
      </c>
      <c r="I97" s="69" t="n"/>
      <c r="J97" s="69" t="n"/>
      <c r="K97" s="69" t="n"/>
      <c r="L97" s="69" t="n"/>
      <c r="M97" s="69" t="n"/>
      <c r="N97" s="74" t="str">
        <f>IF(B97="","",IF(N(L97)&gt;0,I97/L97,0.2))</f>
        <v/>
      </c>
      <c r="O97" s="74" t="str">
        <f>IF(B97="","",IF(N(L97)&gt;0,J97/L97,0.02))</f>
        <v/>
      </c>
      <c r="P97" s="74" t="str">
        <f>IF(B97="","",IF(N(L97)&gt;0,IF(K97="",I97,K97)/L97,0.25))</f>
        <v/>
      </c>
      <c r="Q97" s="69" t="n"/>
      <c r="R97" s="69" t="n"/>
      <c r="S97" s="69" t="n"/>
      <c r="T97" s="69" t="n"/>
      <c r="U97" s="69" t="n"/>
      <c r="V97" s="69" t="n"/>
      <c r="W97" s="78" t="n"/>
      <c r="X97" s="79" t="str">
        <f>IF(B97="","",R97*S97*P_Mix/1000000+IF(P_Fab="Oui",T97,0))</f>
        <v/>
      </c>
      <c r="Y97" s="80" t="str">
        <f>IF(B97="","",IF(W97&lt;&gt;"",W97,IF(AND(P_Source="Table fournie",U97&lt;&gt;""),U97,X97)))</f>
        <v/>
      </c>
      <c r="Z97" s="70" t="str">
        <f>IF(B97="","",IF(W97&lt;&gt;"","Forcé",IF(AND(P_Source="Table fournie",U97&lt;&gt;""),IF(V97="H","Table (hypothèse)","Table (sourcé)"),"Calculateur de Boris")))</f>
        <v/>
      </c>
    </row>
    <row r="98">
      <c r="B98" s="69" t="n"/>
      <c r="C98" s="69" t="n"/>
      <c r="D98" s="69" t="n"/>
      <c r="E98" s="34" t="str">
        <f>IF(B98="","",IF(D98&lt;&gt;"",D98,IF('Contrôles'!$J$130&gt;0,"Exclusive",IF('Contrôles'!$U$130&lt;&gt;"",'Contrôles'!$U$130,IFERROR(INDEX(F_Conv,MATCH(C98,F_Fam,0)),"Inclusive")))))</f>
        <v/>
      </c>
      <c r="F98" s="70" t="str">
        <f>IF(B98="","",IF(D98&lt;&gt;"","Forcée",IF('Contrôles'!$J$130&gt;0,"C2",IF('Contrôles'!$U$130&lt;&gt;"","C3","Défaut API"))))</f>
        <v/>
      </c>
      <c r="G98" s="71" t="str">
        <f>IF(B98="","",IF(E98="Exclusive",0,1))</f>
        <v/>
      </c>
      <c r="H98" s="71" t="str">
        <f>IF(B98="","",IF(E98="Inclusive",1,0))</f>
        <v/>
      </c>
      <c r="I98" s="69" t="n"/>
      <c r="J98" s="69" t="n"/>
      <c r="K98" s="69" t="n"/>
      <c r="L98" s="69" t="n"/>
      <c r="M98" s="69" t="n"/>
      <c r="N98" s="74" t="str">
        <f>IF(B98="","",IF(N(L98)&gt;0,I98/L98,0.2))</f>
        <v/>
      </c>
      <c r="O98" s="74" t="str">
        <f>IF(B98="","",IF(N(L98)&gt;0,J98/L98,0.02))</f>
        <v/>
      </c>
      <c r="P98" s="74" t="str">
        <f>IF(B98="","",IF(N(L98)&gt;0,IF(K98="",I98,K98)/L98,0.25))</f>
        <v/>
      </c>
      <c r="Q98" s="69" t="n"/>
      <c r="R98" s="69" t="n"/>
      <c r="S98" s="69" t="n"/>
      <c r="T98" s="69" t="n"/>
      <c r="U98" s="69" t="n"/>
      <c r="V98" s="69" t="n"/>
      <c r="W98" s="78" t="n"/>
      <c r="X98" s="79" t="str">
        <f>IF(B98="","",R98*S98*P_Mix/1000000+IF(P_Fab="Oui",T98,0))</f>
        <v/>
      </c>
      <c r="Y98" s="80" t="str">
        <f>IF(B98="","",IF(W98&lt;&gt;"",W98,IF(AND(P_Source="Table fournie",U98&lt;&gt;""),U98,X98)))</f>
        <v/>
      </c>
      <c r="Z98" s="70" t="str">
        <f>IF(B98="","",IF(W98&lt;&gt;"","Forcé",IF(AND(P_Source="Table fournie",U98&lt;&gt;""),IF(V98="H","Table (hypothèse)","Table (sourcé)"),"Calculateur de Boris")))</f>
        <v/>
      </c>
    </row>
    <row r="99">
      <c r="B99" s="69" t="n"/>
      <c r="C99" s="69" t="n"/>
      <c r="D99" s="69" t="n"/>
      <c r="E99" s="34" t="str">
        <f>IF(B99="","",IF(D99&lt;&gt;"",D99,IF('Contrôles'!$J$131&gt;0,"Exclusive",IF('Contrôles'!$U$131&lt;&gt;"",'Contrôles'!$U$131,IFERROR(INDEX(F_Conv,MATCH(C99,F_Fam,0)),"Inclusive")))))</f>
        <v/>
      </c>
      <c r="F99" s="70" t="str">
        <f>IF(B99="","",IF(D99&lt;&gt;"","Forcée",IF('Contrôles'!$J$131&gt;0,"C2",IF('Contrôles'!$U$131&lt;&gt;"","C3","Défaut API"))))</f>
        <v/>
      </c>
      <c r="G99" s="71" t="str">
        <f>IF(B99="","",IF(E99="Exclusive",0,1))</f>
        <v/>
      </c>
      <c r="H99" s="71" t="str">
        <f>IF(B99="","",IF(E99="Inclusive",1,0))</f>
        <v/>
      </c>
      <c r="I99" s="69" t="n"/>
      <c r="J99" s="69" t="n"/>
      <c r="K99" s="69" t="n"/>
      <c r="L99" s="69" t="n"/>
      <c r="M99" s="69" t="n"/>
      <c r="N99" s="74" t="str">
        <f>IF(B99="","",IF(N(L99)&gt;0,I99/L99,0.2))</f>
        <v/>
      </c>
      <c r="O99" s="74" t="str">
        <f>IF(B99="","",IF(N(L99)&gt;0,J99/L99,0.02))</f>
        <v/>
      </c>
      <c r="P99" s="74" t="str">
        <f>IF(B99="","",IF(N(L99)&gt;0,IF(K99="",I99,K99)/L99,0.25))</f>
        <v/>
      </c>
      <c r="Q99" s="69" t="n"/>
      <c r="R99" s="69" t="n"/>
      <c r="S99" s="69" t="n"/>
      <c r="T99" s="69" t="n"/>
      <c r="U99" s="69" t="n"/>
      <c r="V99" s="69" t="n"/>
      <c r="W99" s="78" t="n"/>
      <c r="X99" s="79" t="str">
        <f>IF(B99="","",R99*S99*P_Mix/1000000+IF(P_Fab="Oui",T99,0))</f>
        <v/>
      </c>
      <c r="Y99" s="80" t="str">
        <f>IF(B99="","",IF(W99&lt;&gt;"",W99,IF(AND(P_Source="Table fournie",U99&lt;&gt;""),U99,X99)))</f>
        <v/>
      </c>
      <c r="Z99" s="70" t="str">
        <f>IF(B99="","",IF(W99&lt;&gt;"","Forcé",IF(AND(P_Source="Table fournie",U99&lt;&gt;""),IF(V99="H","Table (hypothèse)","Table (sourcé)"),"Calculateur de Boris")))</f>
        <v/>
      </c>
    </row>
    <row r="100">
      <c r="B100" s="69" t="n"/>
      <c r="C100" s="69" t="n"/>
      <c r="D100" s="69" t="n"/>
      <c r="E100" s="34" t="str">
        <f>IF(B100="","",IF(D100&lt;&gt;"",D100,IF('Contrôles'!$J$132&gt;0,"Exclusive",IF('Contrôles'!$U$132&lt;&gt;"",'Contrôles'!$U$132,IFERROR(INDEX(F_Conv,MATCH(C100,F_Fam,0)),"Inclusive")))))</f>
        <v/>
      </c>
      <c r="F100" s="70" t="str">
        <f>IF(B100="","",IF(D100&lt;&gt;"","Forcée",IF('Contrôles'!$J$132&gt;0,"C2",IF('Contrôles'!$U$132&lt;&gt;"","C3","Défaut API"))))</f>
        <v/>
      </c>
      <c r="G100" s="71" t="str">
        <f>IF(B100="","",IF(E100="Exclusive",0,1))</f>
        <v/>
      </c>
      <c r="H100" s="71" t="str">
        <f>IF(B100="","",IF(E100="Inclusive",1,0))</f>
        <v/>
      </c>
      <c r="I100" s="69" t="n"/>
      <c r="J100" s="69" t="n"/>
      <c r="K100" s="69" t="n"/>
      <c r="L100" s="69" t="n"/>
      <c r="M100" s="69" t="n"/>
      <c r="N100" s="74" t="str">
        <f>IF(B100="","",IF(N(L100)&gt;0,I100/L100,0.2))</f>
        <v/>
      </c>
      <c r="O100" s="74" t="str">
        <f>IF(B100="","",IF(N(L100)&gt;0,J100/L100,0.02))</f>
        <v/>
      </c>
      <c r="P100" s="74" t="str">
        <f>IF(B100="","",IF(N(L100)&gt;0,IF(K100="",I100,K100)/L100,0.25))</f>
        <v/>
      </c>
      <c r="Q100" s="69" t="n"/>
      <c r="R100" s="69" t="n"/>
      <c r="S100" s="69" t="n"/>
      <c r="T100" s="69" t="n"/>
      <c r="U100" s="69" t="n"/>
      <c r="V100" s="69" t="n"/>
      <c r="W100" s="78" t="n"/>
      <c r="X100" s="79" t="str">
        <f>IF(B100="","",R100*S100*P_Mix/1000000+IF(P_Fab="Oui",T100,0))</f>
        <v/>
      </c>
      <c r="Y100" s="80" t="str">
        <f>IF(B100="","",IF(W100&lt;&gt;"",W100,IF(AND(P_Source="Table fournie",U100&lt;&gt;""),U100,X100)))</f>
        <v/>
      </c>
      <c r="Z100" s="70" t="str">
        <f>IF(B100="","",IF(W100&lt;&gt;"","Forcé",IF(AND(P_Source="Table fournie",U100&lt;&gt;""),IF(V100="H","Table (hypothèse)","Table (sourcé)"),"Calculateur de Boris")))</f>
        <v/>
      </c>
    </row>
    <row r="101">
      <c r="B101" s="69" t="n"/>
      <c r="C101" s="69" t="n"/>
      <c r="D101" s="69" t="n"/>
      <c r="E101" s="34" t="str">
        <f>IF(B101="","",IF(D101&lt;&gt;"",D101,IF('Contrôles'!$J$133&gt;0,"Exclusive",IF('Contrôles'!$U$133&lt;&gt;"",'Contrôles'!$U$133,IFERROR(INDEX(F_Conv,MATCH(C101,F_Fam,0)),"Inclusive")))))</f>
        <v/>
      </c>
      <c r="F101" s="70" t="str">
        <f>IF(B101="","",IF(D101&lt;&gt;"","Forcée",IF('Contrôles'!$J$133&gt;0,"C2",IF('Contrôles'!$U$133&lt;&gt;"","C3","Défaut API"))))</f>
        <v/>
      </c>
      <c r="G101" s="71" t="str">
        <f>IF(B101="","",IF(E101="Exclusive",0,1))</f>
        <v/>
      </c>
      <c r="H101" s="71" t="str">
        <f>IF(B101="","",IF(E101="Inclusive",1,0))</f>
        <v/>
      </c>
      <c r="I101" s="69" t="n"/>
      <c r="J101" s="69" t="n"/>
      <c r="K101" s="69" t="n"/>
      <c r="L101" s="69" t="n"/>
      <c r="M101" s="69" t="n"/>
      <c r="N101" s="74" t="str">
        <f>IF(B101="","",IF(N(L101)&gt;0,I101/L101,0.2))</f>
        <v/>
      </c>
      <c r="O101" s="74" t="str">
        <f>IF(B101="","",IF(N(L101)&gt;0,J101/L101,0.02))</f>
        <v/>
      </c>
      <c r="P101" s="74" t="str">
        <f>IF(B101="","",IF(N(L101)&gt;0,IF(K101="",I101,K101)/L101,0.25))</f>
        <v/>
      </c>
      <c r="Q101" s="69" t="n"/>
      <c r="R101" s="69" t="n"/>
      <c r="S101" s="69" t="n"/>
      <c r="T101" s="69" t="n"/>
      <c r="U101" s="69" t="n"/>
      <c r="V101" s="69" t="n"/>
      <c r="W101" s="78" t="n"/>
      <c r="X101" s="79" t="str">
        <f>IF(B101="","",R101*S101*P_Mix/1000000+IF(P_Fab="Oui",T101,0))</f>
        <v/>
      </c>
      <c r="Y101" s="80" t="str">
        <f>IF(B101="","",IF(W101&lt;&gt;"",W101,IF(AND(P_Source="Table fournie",U101&lt;&gt;""),U101,X101)))</f>
        <v/>
      </c>
      <c r="Z101" s="70" t="str">
        <f>IF(B101="","",IF(W101&lt;&gt;"","Forcé",IF(AND(P_Source="Table fournie",U101&lt;&gt;""),IF(V101="H","Table (hypothèse)","Table (sourcé)"),"Calculateur de Boris")))</f>
        <v/>
      </c>
    </row>
    <row r="102">
      <c r="B102" s="69" t="n"/>
      <c r="C102" s="69" t="n"/>
      <c r="D102" s="69" t="n"/>
      <c r="E102" s="34" t="str">
        <f>IF(B102="","",IF(D102&lt;&gt;"",D102,IF('Contrôles'!$J$134&gt;0,"Exclusive",IF('Contrôles'!$U$134&lt;&gt;"",'Contrôles'!$U$134,IFERROR(INDEX(F_Conv,MATCH(C102,F_Fam,0)),"Inclusive")))))</f>
        <v/>
      </c>
      <c r="F102" s="70" t="str">
        <f>IF(B102="","",IF(D102&lt;&gt;"","Forcée",IF('Contrôles'!$J$134&gt;0,"C2",IF('Contrôles'!$U$134&lt;&gt;"","C3","Défaut API"))))</f>
        <v/>
      </c>
      <c r="G102" s="71" t="str">
        <f>IF(B102="","",IF(E102="Exclusive",0,1))</f>
        <v/>
      </c>
      <c r="H102" s="71" t="str">
        <f>IF(B102="","",IF(E102="Inclusive",1,0))</f>
        <v/>
      </c>
      <c r="I102" s="69" t="n"/>
      <c r="J102" s="69" t="n"/>
      <c r="K102" s="69" t="n"/>
      <c r="L102" s="69" t="n"/>
      <c r="M102" s="69" t="n"/>
      <c r="N102" s="74" t="str">
        <f>IF(B102="","",IF(N(L102)&gt;0,I102/L102,0.2))</f>
        <v/>
      </c>
      <c r="O102" s="74" t="str">
        <f>IF(B102="","",IF(N(L102)&gt;0,J102/L102,0.02))</f>
        <v/>
      </c>
      <c r="P102" s="74" t="str">
        <f>IF(B102="","",IF(N(L102)&gt;0,IF(K102="",I102,K102)/L102,0.25))</f>
        <v/>
      </c>
      <c r="Q102" s="69" t="n"/>
      <c r="R102" s="69" t="n"/>
      <c r="S102" s="69" t="n"/>
      <c r="T102" s="69" t="n"/>
      <c r="U102" s="69" t="n"/>
      <c r="V102" s="69" t="n"/>
      <c r="W102" s="78" t="n"/>
      <c r="X102" s="79" t="str">
        <f>IF(B102="","",R102*S102*P_Mix/1000000+IF(P_Fab="Oui",T102,0))</f>
        <v/>
      </c>
      <c r="Y102" s="80" t="str">
        <f>IF(B102="","",IF(W102&lt;&gt;"",W102,IF(AND(P_Source="Table fournie",U102&lt;&gt;""),U102,X102)))</f>
        <v/>
      </c>
      <c r="Z102" s="70" t="str">
        <f>IF(B102="","",IF(W102&lt;&gt;"","Forcé",IF(AND(P_Source="Table fournie",U102&lt;&gt;""),IF(V102="H","Table (hypothèse)","Table (sourcé)"),"Calculateur de Boris")))</f>
        <v/>
      </c>
    </row>
    <row r="103">
      <c r="B103" s="69" t="n"/>
      <c r="C103" s="69" t="n"/>
      <c r="D103" s="69" t="n"/>
      <c r="E103" s="34" t="str">
        <f>IF(B103="","",IF(D103&lt;&gt;"",D103,IF('Contrôles'!$J$135&gt;0,"Exclusive",IF('Contrôles'!$U$135&lt;&gt;"",'Contrôles'!$U$135,IFERROR(INDEX(F_Conv,MATCH(C103,F_Fam,0)),"Inclusive")))))</f>
        <v/>
      </c>
      <c r="F103" s="70" t="str">
        <f>IF(B103="","",IF(D103&lt;&gt;"","Forcée",IF('Contrôles'!$J$135&gt;0,"C2",IF('Contrôles'!$U$135&lt;&gt;"","C3","Défaut API"))))</f>
        <v/>
      </c>
      <c r="G103" s="71" t="str">
        <f>IF(B103="","",IF(E103="Exclusive",0,1))</f>
        <v/>
      </c>
      <c r="H103" s="71" t="str">
        <f>IF(B103="","",IF(E103="Inclusive",1,0))</f>
        <v/>
      </c>
      <c r="I103" s="69" t="n"/>
      <c r="J103" s="69" t="n"/>
      <c r="K103" s="69" t="n"/>
      <c r="L103" s="69" t="n"/>
      <c r="M103" s="69" t="n"/>
      <c r="N103" s="74" t="str">
        <f>IF(B103="","",IF(N(L103)&gt;0,I103/L103,0.2))</f>
        <v/>
      </c>
      <c r="O103" s="74" t="str">
        <f>IF(B103="","",IF(N(L103)&gt;0,J103/L103,0.02))</f>
        <v/>
      </c>
      <c r="P103" s="74" t="str">
        <f>IF(B103="","",IF(N(L103)&gt;0,IF(K103="",I103,K103)/L103,0.25))</f>
        <v/>
      </c>
      <c r="Q103" s="69" t="n"/>
      <c r="R103" s="69" t="n"/>
      <c r="S103" s="69" t="n"/>
      <c r="T103" s="69" t="n"/>
      <c r="U103" s="69" t="n"/>
      <c r="V103" s="69" t="n"/>
      <c r="W103" s="78" t="n"/>
      <c r="X103" s="79" t="str">
        <f>IF(B103="","",R103*S103*P_Mix/1000000+IF(P_Fab="Oui",T103,0))</f>
        <v/>
      </c>
      <c r="Y103" s="80" t="str">
        <f>IF(B103="","",IF(W103&lt;&gt;"",W103,IF(AND(P_Source="Table fournie",U103&lt;&gt;""),U103,X103)))</f>
        <v/>
      </c>
      <c r="Z103" s="70" t="str">
        <f>IF(B103="","",IF(W103&lt;&gt;"","Forcé",IF(AND(P_Source="Table fournie",U103&lt;&gt;""),IF(V103="H","Table (hypothèse)","Table (sourcé)"),"Calculateur de Boris")))</f>
        <v/>
      </c>
    </row>
    <row r="104">
      <c r="B104" s="69" t="n"/>
      <c r="C104" s="69" t="n"/>
      <c r="D104" s="69" t="n"/>
      <c r="E104" s="34" t="str">
        <f>IF(B104="","",IF(D104&lt;&gt;"",D104,IF('Contrôles'!$J$136&gt;0,"Exclusive",IF('Contrôles'!$U$136&lt;&gt;"",'Contrôles'!$U$136,IFERROR(INDEX(F_Conv,MATCH(C104,F_Fam,0)),"Inclusive")))))</f>
        <v/>
      </c>
      <c r="F104" s="70" t="str">
        <f>IF(B104="","",IF(D104&lt;&gt;"","Forcée",IF('Contrôles'!$J$136&gt;0,"C2",IF('Contrôles'!$U$136&lt;&gt;"","C3","Défaut API"))))</f>
        <v/>
      </c>
      <c r="G104" s="71" t="str">
        <f>IF(B104="","",IF(E104="Exclusive",0,1))</f>
        <v/>
      </c>
      <c r="H104" s="71" t="str">
        <f>IF(B104="","",IF(E104="Inclusive",1,0))</f>
        <v/>
      </c>
      <c r="I104" s="69" t="n"/>
      <c r="J104" s="69" t="n"/>
      <c r="K104" s="69" t="n"/>
      <c r="L104" s="69" t="n"/>
      <c r="M104" s="69" t="n"/>
      <c r="N104" s="74" t="str">
        <f>IF(B104="","",IF(N(L104)&gt;0,I104/L104,0.2))</f>
        <v/>
      </c>
      <c r="O104" s="74" t="str">
        <f>IF(B104="","",IF(N(L104)&gt;0,J104/L104,0.02))</f>
        <v/>
      </c>
      <c r="P104" s="74" t="str">
        <f>IF(B104="","",IF(N(L104)&gt;0,IF(K104="",I104,K104)/L104,0.25))</f>
        <v/>
      </c>
      <c r="Q104" s="69" t="n"/>
      <c r="R104" s="69" t="n"/>
      <c r="S104" s="69" t="n"/>
      <c r="T104" s="69" t="n"/>
      <c r="U104" s="69" t="n"/>
      <c r="V104" s="69" t="n"/>
      <c r="W104" s="78" t="n"/>
      <c r="X104" s="79" t="str">
        <f>IF(B104="","",R104*S104*P_Mix/1000000+IF(P_Fab="Oui",T104,0))</f>
        <v/>
      </c>
      <c r="Y104" s="80" t="str">
        <f>IF(B104="","",IF(W104&lt;&gt;"",W104,IF(AND(P_Source="Table fournie",U104&lt;&gt;""),U104,X104)))</f>
        <v/>
      </c>
      <c r="Z104" s="70" t="str">
        <f>IF(B104="","",IF(W104&lt;&gt;"","Forcé",IF(AND(P_Source="Table fournie",U104&lt;&gt;""),IF(V104="H","Table (hypothèse)","Table (sourcé)"),"Calculateur de Boris")))</f>
        <v/>
      </c>
    </row>
    <row r="105">
      <c r="B105" s="69" t="n"/>
      <c r="C105" s="69" t="n"/>
      <c r="D105" s="69" t="n"/>
      <c r="E105" s="34" t="str">
        <f>IF(B105="","",IF(D105&lt;&gt;"",D105,IF('Contrôles'!$J$137&gt;0,"Exclusive",IF('Contrôles'!$U$137&lt;&gt;"",'Contrôles'!$U$137,IFERROR(INDEX(F_Conv,MATCH(C105,F_Fam,0)),"Inclusive")))))</f>
        <v/>
      </c>
      <c r="F105" s="70" t="str">
        <f>IF(B105="","",IF(D105&lt;&gt;"","Forcée",IF('Contrôles'!$J$137&gt;0,"C2",IF('Contrôles'!$U$137&lt;&gt;"","C3","Défaut API"))))</f>
        <v/>
      </c>
      <c r="G105" s="71" t="str">
        <f>IF(B105="","",IF(E105="Exclusive",0,1))</f>
        <v/>
      </c>
      <c r="H105" s="71" t="str">
        <f>IF(B105="","",IF(E105="Inclusive",1,0))</f>
        <v/>
      </c>
      <c r="I105" s="69" t="n"/>
      <c r="J105" s="69" t="n"/>
      <c r="K105" s="69" t="n"/>
      <c r="L105" s="69" t="n"/>
      <c r="M105" s="69" t="n"/>
      <c r="N105" s="74" t="str">
        <f>IF(B105="","",IF(N(L105)&gt;0,I105/L105,0.2))</f>
        <v/>
      </c>
      <c r="O105" s="74" t="str">
        <f>IF(B105="","",IF(N(L105)&gt;0,J105/L105,0.02))</f>
        <v/>
      </c>
      <c r="P105" s="74" t="str">
        <f>IF(B105="","",IF(N(L105)&gt;0,IF(K105="",I105,K105)/L105,0.25))</f>
        <v/>
      </c>
      <c r="Q105" s="69" t="n"/>
      <c r="R105" s="69" t="n"/>
      <c r="S105" s="69" t="n"/>
      <c r="T105" s="69" t="n"/>
      <c r="U105" s="69" t="n"/>
      <c r="V105" s="69" t="n"/>
      <c r="W105" s="78" t="n"/>
      <c r="X105" s="79" t="str">
        <f>IF(B105="","",R105*S105*P_Mix/1000000+IF(P_Fab="Oui",T105,0))</f>
        <v/>
      </c>
      <c r="Y105" s="80" t="str">
        <f>IF(B105="","",IF(W105&lt;&gt;"",W105,IF(AND(P_Source="Table fournie",U105&lt;&gt;""),U105,X105)))</f>
        <v/>
      </c>
      <c r="Z105" s="70" t="str">
        <f>IF(B105="","",IF(W105&lt;&gt;"","Forcé",IF(AND(P_Source="Table fournie",U105&lt;&gt;""),IF(V105="H","Table (hypothèse)","Table (sourcé)"),"Calculateur de Boris")))</f>
        <v/>
      </c>
    </row>
    <row r="106">
      <c r="B106" s="69" t="n"/>
      <c r="C106" s="69" t="n"/>
      <c r="D106" s="69" t="n"/>
      <c r="E106" s="34" t="str">
        <f>IF(B106="","",IF(D106&lt;&gt;"",D106,IF('Contrôles'!$J$138&gt;0,"Exclusive",IF('Contrôles'!$U$138&lt;&gt;"",'Contrôles'!$U$138,IFERROR(INDEX(F_Conv,MATCH(C106,F_Fam,0)),"Inclusive")))))</f>
        <v/>
      </c>
      <c r="F106" s="70" t="str">
        <f>IF(B106="","",IF(D106&lt;&gt;"","Forcée",IF('Contrôles'!$J$138&gt;0,"C2",IF('Contrôles'!$U$138&lt;&gt;"","C3","Défaut API"))))</f>
        <v/>
      </c>
      <c r="G106" s="71" t="str">
        <f>IF(B106="","",IF(E106="Exclusive",0,1))</f>
        <v/>
      </c>
      <c r="H106" s="71" t="str">
        <f>IF(B106="","",IF(E106="Inclusive",1,0))</f>
        <v/>
      </c>
      <c r="I106" s="69" t="n"/>
      <c r="J106" s="69" t="n"/>
      <c r="K106" s="69" t="n"/>
      <c r="L106" s="69" t="n"/>
      <c r="M106" s="69" t="n"/>
      <c r="N106" s="74" t="str">
        <f>IF(B106="","",IF(N(L106)&gt;0,I106/L106,0.2))</f>
        <v/>
      </c>
      <c r="O106" s="74" t="str">
        <f>IF(B106="","",IF(N(L106)&gt;0,J106/L106,0.02))</f>
        <v/>
      </c>
      <c r="P106" s="74" t="str">
        <f>IF(B106="","",IF(N(L106)&gt;0,IF(K106="",I106,K106)/L106,0.25))</f>
        <v/>
      </c>
      <c r="Q106" s="69" t="n"/>
      <c r="R106" s="69" t="n"/>
      <c r="S106" s="69" t="n"/>
      <c r="T106" s="69" t="n"/>
      <c r="U106" s="69" t="n"/>
      <c r="V106" s="69" t="n"/>
      <c r="W106" s="78" t="n"/>
      <c r="X106" s="79" t="str">
        <f>IF(B106="","",R106*S106*P_Mix/1000000+IF(P_Fab="Oui",T106,0))</f>
        <v/>
      </c>
      <c r="Y106" s="80" t="str">
        <f>IF(B106="","",IF(W106&lt;&gt;"",W106,IF(AND(P_Source="Table fournie",U106&lt;&gt;""),U106,X106)))</f>
        <v/>
      </c>
      <c r="Z106" s="70" t="str">
        <f>IF(B106="","",IF(W106&lt;&gt;"","Forcé",IF(AND(P_Source="Table fournie",U106&lt;&gt;""),IF(V106="H","Table (hypothèse)","Table (sourcé)"),"Calculateur de Boris")))</f>
        <v/>
      </c>
    </row>
    <row r="107">
      <c r="B107" s="69" t="n"/>
      <c r="C107" s="69" t="n"/>
      <c r="D107" s="69" t="n"/>
      <c r="E107" s="34" t="str">
        <f>IF(B107="","",IF(D107&lt;&gt;"",D107,IF('Contrôles'!$J$139&gt;0,"Exclusive",IF('Contrôles'!$U$139&lt;&gt;"",'Contrôles'!$U$139,IFERROR(INDEX(F_Conv,MATCH(C107,F_Fam,0)),"Inclusive")))))</f>
        <v/>
      </c>
      <c r="F107" s="70" t="str">
        <f>IF(B107="","",IF(D107&lt;&gt;"","Forcée",IF('Contrôles'!$J$139&gt;0,"C2",IF('Contrôles'!$U$139&lt;&gt;"","C3","Défaut API"))))</f>
        <v/>
      </c>
      <c r="G107" s="71" t="str">
        <f>IF(B107="","",IF(E107="Exclusive",0,1))</f>
        <v/>
      </c>
      <c r="H107" s="71" t="str">
        <f>IF(B107="","",IF(E107="Inclusive",1,0))</f>
        <v/>
      </c>
      <c r="I107" s="69" t="n"/>
      <c r="J107" s="69" t="n"/>
      <c r="K107" s="69" t="n"/>
      <c r="L107" s="69" t="n"/>
      <c r="M107" s="69" t="n"/>
      <c r="N107" s="74" t="str">
        <f>IF(B107="","",IF(N(L107)&gt;0,I107/L107,0.2))</f>
        <v/>
      </c>
      <c r="O107" s="74" t="str">
        <f>IF(B107="","",IF(N(L107)&gt;0,J107/L107,0.02))</f>
        <v/>
      </c>
      <c r="P107" s="74" t="str">
        <f>IF(B107="","",IF(N(L107)&gt;0,IF(K107="",I107,K107)/L107,0.25))</f>
        <v/>
      </c>
      <c r="Q107" s="69" t="n"/>
      <c r="R107" s="69" t="n"/>
      <c r="S107" s="69" t="n"/>
      <c r="T107" s="69" t="n"/>
      <c r="U107" s="69" t="n"/>
      <c r="V107" s="69" t="n"/>
      <c r="W107" s="78" t="n"/>
      <c r="X107" s="79" t="str">
        <f>IF(B107="","",R107*S107*P_Mix/1000000+IF(P_Fab="Oui",T107,0))</f>
        <v/>
      </c>
      <c r="Y107" s="80" t="str">
        <f>IF(B107="","",IF(W107&lt;&gt;"",W107,IF(AND(P_Source="Table fournie",U107&lt;&gt;""),U107,X107)))</f>
        <v/>
      </c>
      <c r="Z107" s="70" t="str">
        <f>IF(B107="","",IF(W107&lt;&gt;"","Forcé",IF(AND(P_Source="Table fournie",U107&lt;&gt;""),IF(V107="H","Table (hypothèse)","Table (sourcé)"),"Calculateur de Boris")))</f>
        <v/>
      </c>
    </row>
    <row r="108">
      <c r="B108" s="69" t="n"/>
      <c r="C108" s="69" t="n"/>
      <c r="D108" s="69" t="n"/>
      <c r="E108" s="34" t="str">
        <f>IF(B108="","",IF(D108&lt;&gt;"",D108,IF('Contrôles'!$J$140&gt;0,"Exclusive",IF('Contrôles'!$U$140&lt;&gt;"",'Contrôles'!$U$140,IFERROR(INDEX(F_Conv,MATCH(C108,F_Fam,0)),"Inclusive")))))</f>
        <v/>
      </c>
      <c r="F108" s="70" t="str">
        <f>IF(B108="","",IF(D108&lt;&gt;"","Forcée",IF('Contrôles'!$J$140&gt;0,"C2",IF('Contrôles'!$U$140&lt;&gt;"","C3","Défaut API"))))</f>
        <v/>
      </c>
      <c r="G108" s="71" t="str">
        <f>IF(B108="","",IF(E108="Exclusive",0,1))</f>
        <v/>
      </c>
      <c r="H108" s="71" t="str">
        <f>IF(B108="","",IF(E108="Inclusive",1,0))</f>
        <v/>
      </c>
      <c r="I108" s="69" t="n"/>
      <c r="J108" s="69" t="n"/>
      <c r="K108" s="69" t="n"/>
      <c r="L108" s="69" t="n"/>
      <c r="M108" s="69" t="n"/>
      <c r="N108" s="74" t="str">
        <f>IF(B108="","",IF(N(L108)&gt;0,I108/L108,0.2))</f>
        <v/>
      </c>
      <c r="O108" s="74" t="str">
        <f>IF(B108="","",IF(N(L108)&gt;0,J108/L108,0.02))</f>
        <v/>
      </c>
      <c r="P108" s="74" t="str">
        <f>IF(B108="","",IF(N(L108)&gt;0,IF(K108="",I108,K108)/L108,0.25))</f>
        <v/>
      </c>
      <c r="Q108" s="69" t="n"/>
      <c r="R108" s="69" t="n"/>
      <c r="S108" s="69" t="n"/>
      <c r="T108" s="69" t="n"/>
      <c r="U108" s="69" t="n"/>
      <c r="V108" s="69" t="n"/>
      <c r="W108" s="78" t="n"/>
      <c r="X108" s="79" t="str">
        <f>IF(B108="","",R108*S108*P_Mix/1000000+IF(P_Fab="Oui",T108,0))</f>
        <v/>
      </c>
      <c r="Y108" s="80" t="str">
        <f>IF(B108="","",IF(W108&lt;&gt;"",W108,IF(AND(P_Source="Table fournie",U108&lt;&gt;""),U108,X108)))</f>
        <v/>
      </c>
      <c r="Z108" s="70" t="str">
        <f>IF(B108="","",IF(W108&lt;&gt;"","Forcé",IF(AND(P_Source="Table fournie",U108&lt;&gt;""),IF(V108="H","Table (hypothèse)","Table (sourcé)"),"Calculateur de Boris")))</f>
        <v/>
      </c>
    </row>
    <row r="109">
      <c r="B109" s="69" t="n"/>
      <c r="C109" s="69" t="n"/>
      <c r="D109" s="69" t="n"/>
      <c r="E109" s="34" t="str">
        <f>IF(B109="","",IF(D109&lt;&gt;"",D109,IF('Contrôles'!$J$141&gt;0,"Exclusive",IF('Contrôles'!$U$141&lt;&gt;"",'Contrôles'!$U$141,IFERROR(INDEX(F_Conv,MATCH(C109,F_Fam,0)),"Inclusive")))))</f>
        <v/>
      </c>
      <c r="F109" s="70" t="str">
        <f>IF(B109="","",IF(D109&lt;&gt;"","Forcée",IF('Contrôles'!$J$141&gt;0,"C2",IF('Contrôles'!$U$141&lt;&gt;"","C3","Défaut API"))))</f>
        <v/>
      </c>
      <c r="G109" s="71" t="str">
        <f>IF(B109="","",IF(E109="Exclusive",0,1))</f>
        <v/>
      </c>
      <c r="H109" s="71" t="str">
        <f>IF(B109="","",IF(E109="Inclusive",1,0))</f>
        <v/>
      </c>
      <c r="I109" s="69" t="n"/>
      <c r="J109" s="69" t="n"/>
      <c r="K109" s="69" t="n"/>
      <c r="L109" s="69" t="n"/>
      <c r="M109" s="69" t="n"/>
      <c r="N109" s="74" t="str">
        <f>IF(B109="","",IF(N(L109)&gt;0,I109/L109,0.2))</f>
        <v/>
      </c>
      <c r="O109" s="74" t="str">
        <f>IF(B109="","",IF(N(L109)&gt;0,J109/L109,0.02))</f>
        <v/>
      </c>
      <c r="P109" s="74" t="str">
        <f>IF(B109="","",IF(N(L109)&gt;0,IF(K109="",I109,K109)/L109,0.25))</f>
        <v/>
      </c>
      <c r="Q109" s="69" t="n"/>
      <c r="R109" s="69" t="n"/>
      <c r="S109" s="69" t="n"/>
      <c r="T109" s="69" t="n"/>
      <c r="U109" s="69" t="n"/>
      <c r="V109" s="69" t="n"/>
      <c r="W109" s="78" t="n"/>
      <c r="X109" s="79" t="str">
        <f>IF(B109="","",R109*S109*P_Mix/1000000+IF(P_Fab="Oui",T109,0))</f>
        <v/>
      </c>
      <c r="Y109" s="80" t="str">
        <f>IF(B109="","",IF(W109&lt;&gt;"",W109,IF(AND(P_Source="Table fournie",U109&lt;&gt;""),U109,X109)))</f>
        <v/>
      </c>
      <c r="Z109" s="70" t="str">
        <f>IF(B109="","",IF(W109&lt;&gt;"","Forcé",IF(AND(P_Source="Table fournie",U109&lt;&gt;""),IF(V109="H","Table (hypothèse)","Table (sourcé)"),"Calculateur de Boris")))</f>
        <v/>
      </c>
    </row>
    <row r="110">
      <c r="B110" s="69" t="n"/>
      <c r="C110" s="69" t="n"/>
      <c r="D110" s="69" t="n"/>
      <c r="E110" s="34" t="str">
        <f>IF(B110="","",IF(D110&lt;&gt;"",D110,IF('Contrôles'!$J$142&gt;0,"Exclusive",IF('Contrôles'!$U$142&lt;&gt;"",'Contrôles'!$U$142,IFERROR(INDEX(F_Conv,MATCH(C110,F_Fam,0)),"Inclusive")))))</f>
        <v/>
      </c>
      <c r="F110" s="70" t="str">
        <f>IF(B110="","",IF(D110&lt;&gt;"","Forcée",IF('Contrôles'!$J$142&gt;0,"C2",IF('Contrôles'!$U$142&lt;&gt;"","C3","Défaut API"))))</f>
        <v/>
      </c>
      <c r="G110" s="71" t="str">
        <f>IF(B110="","",IF(E110="Exclusive",0,1))</f>
        <v/>
      </c>
      <c r="H110" s="71" t="str">
        <f>IF(B110="","",IF(E110="Inclusive",1,0))</f>
        <v/>
      </c>
      <c r="I110" s="69" t="n"/>
      <c r="J110" s="69" t="n"/>
      <c r="K110" s="69" t="n"/>
      <c r="L110" s="69" t="n"/>
      <c r="M110" s="69" t="n"/>
      <c r="N110" s="74" t="str">
        <f>IF(B110="","",IF(N(L110)&gt;0,I110/L110,0.2))</f>
        <v/>
      </c>
      <c r="O110" s="74" t="str">
        <f>IF(B110="","",IF(N(L110)&gt;0,J110/L110,0.02))</f>
        <v/>
      </c>
      <c r="P110" s="74" t="str">
        <f>IF(B110="","",IF(N(L110)&gt;0,IF(K110="",I110,K110)/L110,0.25))</f>
        <v/>
      </c>
      <c r="Q110" s="69" t="n"/>
      <c r="R110" s="69" t="n"/>
      <c r="S110" s="69" t="n"/>
      <c r="T110" s="69" t="n"/>
      <c r="U110" s="69" t="n"/>
      <c r="V110" s="69" t="n"/>
      <c r="W110" s="78" t="n"/>
      <c r="X110" s="79" t="str">
        <f>IF(B110="","",R110*S110*P_Mix/1000000+IF(P_Fab="Oui",T110,0))</f>
        <v/>
      </c>
      <c r="Y110" s="80" t="str">
        <f>IF(B110="","",IF(W110&lt;&gt;"",W110,IF(AND(P_Source="Table fournie",U110&lt;&gt;""),U110,X110)))</f>
        <v/>
      </c>
      <c r="Z110" s="70" t="str">
        <f>IF(B110="","",IF(W110&lt;&gt;"","Forcé",IF(AND(P_Source="Table fournie",U110&lt;&gt;""),IF(V110="H","Table (hypothèse)","Table (sourcé)"),"Calculateur de Boris")))</f>
        <v/>
      </c>
    </row>
    <row r="111">
      <c r="B111" s="69" t="n"/>
      <c r="C111" s="69" t="n"/>
      <c r="D111" s="69" t="n"/>
      <c r="E111" s="34" t="str">
        <f>IF(B111="","",IF(D111&lt;&gt;"",D111,IF('Contrôles'!$J$143&gt;0,"Exclusive",IF('Contrôles'!$U$143&lt;&gt;"",'Contrôles'!$U$143,IFERROR(INDEX(F_Conv,MATCH(C111,F_Fam,0)),"Inclusive")))))</f>
        <v/>
      </c>
      <c r="F111" s="70" t="str">
        <f>IF(B111="","",IF(D111&lt;&gt;"","Forcée",IF('Contrôles'!$J$143&gt;0,"C2",IF('Contrôles'!$U$143&lt;&gt;"","C3","Défaut API"))))</f>
        <v/>
      </c>
      <c r="G111" s="71" t="str">
        <f>IF(B111="","",IF(E111="Exclusive",0,1))</f>
        <v/>
      </c>
      <c r="H111" s="71" t="str">
        <f>IF(B111="","",IF(E111="Inclusive",1,0))</f>
        <v/>
      </c>
      <c r="I111" s="69" t="n"/>
      <c r="J111" s="69" t="n"/>
      <c r="K111" s="69" t="n"/>
      <c r="L111" s="69" t="n"/>
      <c r="M111" s="69" t="n"/>
      <c r="N111" s="74" t="str">
        <f>IF(B111="","",IF(N(L111)&gt;0,I111/L111,0.2))</f>
        <v/>
      </c>
      <c r="O111" s="74" t="str">
        <f>IF(B111="","",IF(N(L111)&gt;0,J111/L111,0.02))</f>
        <v/>
      </c>
      <c r="P111" s="74" t="str">
        <f>IF(B111="","",IF(N(L111)&gt;0,IF(K111="",I111,K111)/L111,0.25))</f>
        <v/>
      </c>
      <c r="Q111" s="69" t="n"/>
      <c r="R111" s="69" t="n"/>
      <c r="S111" s="69" t="n"/>
      <c r="T111" s="69" t="n"/>
      <c r="U111" s="69" t="n"/>
      <c r="V111" s="69" t="n"/>
      <c r="W111" s="78" t="n"/>
      <c r="X111" s="79" t="str">
        <f>IF(B111="","",R111*S111*P_Mix/1000000+IF(P_Fab="Oui",T111,0))</f>
        <v/>
      </c>
      <c r="Y111" s="80" t="str">
        <f>IF(B111="","",IF(W111&lt;&gt;"",W111,IF(AND(P_Source="Table fournie",U111&lt;&gt;""),U111,X111)))</f>
        <v/>
      </c>
      <c r="Z111" s="70" t="str">
        <f>IF(B111="","",IF(W111&lt;&gt;"","Forcé",IF(AND(P_Source="Table fournie",U111&lt;&gt;""),IF(V111="H","Table (hypothèse)","Table (sourcé)"),"Calculateur de Boris")))</f>
        <v/>
      </c>
    </row>
    <row r="112">
      <c r="B112" s="69" t="n"/>
      <c r="C112" s="69" t="n"/>
      <c r="D112" s="69" t="n"/>
      <c r="E112" s="34" t="str">
        <f>IF(B112="","",IF(D112&lt;&gt;"",D112,IF('Contrôles'!$J$144&gt;0,"Exclusive",IF('Contrôles'!$U$144&lt;&gt;"",'Contrôles'!$U$144,IFERROR(INDEX(F_Conv,MATCH(C112,F_Fam,0)),"Inclusive")))))</f>
        <v/>
      </c>
      <c r="F112" s="70" t="str">
        <f>IF(B112="","",IF(D112&lt;&gt;"","Forcée",IF('Contrôles'!$J$144&gt;0,"C2",IF('Contrôles'!$U$144&lt;&gt;"","C3","Défaut API"))))</f>
        <v/>
      </c>
      <c r="G112" s="71" t="str">
        <f>IF(B112="","",IF(E112="Exclusive",0,1))</f>
        <v/>
      </c>
      <c r="H112" s="71" t="str">
        <f>IF(B112="","",IF(E112="Inclusive",1,0))</f>
        <v/>
      </c>
      <c r="I112" s="69" t="n"/>
      <c r="J112" s="69" t="n"/>
      <c r="K112" s="69" t="n"/>
      <c r="L112" s="69" t="n"/>
      <c r="M112" s="69" t="n"/>
      <c r="N112" s="74" t="str">
        <f>IF(B112="","",IF(N(L112)&gt;0,I112/L112,0.2))</f>
        <v/>
      </c>
      <c r="O112" s="74" t="str">
        <f>IF(B112="","",IF(N(L112)&gt;0,J112/L112,0.02))</f>
        <v/>
      </c>
      <c r="P112" s="74" t="str">
        <f>IF(B112="","",IF(N(L112)&gt;0,IF(K112="",I112,K112)/L112,0.25))</f>
        <v/>
      </c>
      <c r="Q112" s="69" t="n"/>
      <c r="R112" s="69" t="n"/>
      <c r="S112" s="69" t="n"/>
      <c r="T112" s="69" t="n"/>
      <c r="U112" s="69" t="n"/>
      <c r="V112" s="69" t="n"/>
      <c r="W112" s="78" t="n"/>
      <c r="X112" s="79" t="str">
        <f>IF(B112="","",R112*S112*P_Mix/1000000+IF(P_Fab="Oui",T112,0))</f>
        <v/>
      </c>
      <c r="Y112" s="80" t="str">
        <f>IF(B112="","",IF(W112&lt;&gt;"",W112,IF(AND(P_Source="Table fournie",U112&lt;&gt;""),U112,X112)))</f>
        <v/>
      </c>
      <c r="Z112" s="70" t="str">
        <f>IF(B112="","",IF(W112&lt;&gt;"","Forcé",IF(AND(P_Source="Table fournie",U112&lt;&gt;""),IF(V112="H","Table (hypothèse)","Table (sourcé)"),"Calculateur de Boris")))</f>
        <v/>
      </c>
    </row>
    <row r="113">
      <c r="B113" s="69" t="n"/>
      <c r="C113" s="69" t="n"/>
      <c r="D113" s="69" t="n"/>
      <c r="E113" s="34" t="str">
        <f>IF(B113="","",IF(D113&lt;&gt;"",D113,IF('Contrôles'!$J$145&gt;0,"Exclusive",IF('Contrôles'!$U$145&lt;&gt;"",'Contrôles'!$U$145,IFERROR(INDEX(F_Conv,MATCH(C113,F_Fam,0)),"Inclusive")))))</f>
        <v/>
      </c>
      <c r="F113" s="70" t="str">
        <f>IF(B113="","",IF(D113&lt;&gt;"","Forcée",IF('Contrôles'!$J$145&gt;0,"C2",IF('Contrôles'!$U$145&lt;&gt;"","C3","Défaut API"))))</f>
        <v/>
      </c>
      <c r="G113" s="71" t="str">
        <f>IF(B113="","",IF(E113="Exclusive",0,1))</f>
        <v/>
      </c>
      <c r="H113" s="71" t="str">
        <f>IF(B113="","",IF(E113="Inclusive",1,0))</f>
        <v/>
      </c>
      <c r="I113" s="69" t="n"/>
      <c r="J113" s="69" t="n"/>
      <c r="K113" s="69" t="n"/>
      <c r="L113" s="69" t="n"/>
      <c r="M113" s="69" t="n"/>
      <c r="N113" s="74" t="str">
        <f>IF(B113="","",IF(N(L113)&gt;0,I113/L113,0.2))</f>
        <v/>
      </c>
      <c r="O113" s="74" t="str">
        <f>IF(B113="","",IF(N(L113)&gt;0,J113/L113,0.02))</f>
        <v/>
      </c>
      <c r="P113" s="74" t="str">
        <f>IF(B113="","",IF(N(L113)&gt;0,IF(K113="",I113,K113)/L113,0.25))</f>
        <v/>
      </c>
      <c r="Q113" s="69" t="n"/>
      <c r="R113" s="69" t="n"/>
      <c r="S113" s="69" t="n"/>
      <c r="T113" s="69" t="n"/>
      <c r="U113" s="69" t="n"/>
      <c r="V113" s="69" t="n"/>
      <c r="W113" s="78" t="n"/>
      <c r="X113" s="79" t="str">
        <f>IF(B113="","",R113*S113*P_Mix/1000000+IF(P_Fab="Oui",T113,0))</f>
        <v/>
      </c>
      <c r="Y113" s="80" t="str">
        <f>IF(B113="","",IF(W113&lt;&gt;"",W113,IF(AND(P_Source="Table fournie",U113&lt;&gt;""),U113,X113)))</f>
        <v/>
      </c>
      <c r="Z113" s="70" t="str">
        <f>IF(B113="","",IF(W113&lt;&gt;"","Forcé",IF(AND(P_Source="Table fournie",U113&lt;&gt;""),IF(V113="H","Table (hypothèse)","Table (sourcé)"),"Calculateur de Boris")))</f>
        <v/>
      </c>
    </row>
    <row r="114">
      <c r="B114" s="69" t="n"/>
      <c r="C114" s="69" t="n"/>
      <c r="D114" s="69" t="n"/>
      <c r="E114" s="34" t="str">
        <f>IF(B114="","",IF(D114&lt;&gt;"",D114,IF('Contrôles'!$J$146&gt;0,"Exclusive",IF('Contrôles'!$U$146&lt;&gt;"",'Contrôles'!$U$146,IFERROR(INDEX(F_Conv,MATCH(C114,F_Fam,0)),"Inclusive")))))</f>
        <v/>
      </c>
      <c r="F114" s="70" t="str">
        <f>IF(B114="","",IF(D114&lt;&gt;"","Forcée",IF('Contrôles'!$J$146&gt;0,"C2",IF('Contrôles'!$U$146&lt;&gt;"","C3","Défaut API"))))</f>
        <v/>
      </c>
      <c r="G114" s="71" t="str">
        <f>IF(B114="","",IF(E114="Exclusive",0,1))</f>
        <v/>
      </c>
      <c r="H114" s="71" t="str">
        <f>IF(B114="","",IF(E114="Inclusive",1,0))</f>
        <v/>
      </c>
      <c r="I114" s="69" t="n"/>
      <c r="J114" s="69" t="n"/>
      <c r="K114" s="69" t="n"/>
      <c r="L114" s="69" t="n"/>
      <c r="M114" s="69" t="n"/>
      <c r="N114" s="74" t="str">
        <f>IF(B114="","",IF(N(L114)&gt;0,I114/L114,0.2))</f>
        <v/>
      </c>
      <c r="O114" s="74" t="str">
        <f>IF(B114="","",IF(N(L114)&gt;0,J114/L114,0.02))</f>
        <v/>
      </c>
      <c r="P114" s="74" t="str">
        <f>IF(B114="","",IF(N(L114)&gt;0,IF(K114="",I114,K114)/L114,0.25))</f>
        <v/>
      </c>
      <c r="Q114" s="69" t="n"/>
      <c r="R114" s="69" t="n"/>
      <c r="S114" s="69" t="n"/>
      <c r="T114" s="69" t="n"/>
      <c r="U114" s="69" t="n"/>
      <c r="V114" s="69" t="n"/>
      <c r="W114" s="78" t="n"/>
      <c r="X114" s="79" t="str">
        <f>IF(B114="","",R114*S114*P_Mix/1000000+IF(P_Fab="Oui",T114,0))</f>
        <v/>
      </c>
      <c r="Y114" s="80" t="str">
        <f>IF(B114="","",IF(W114&lt;&gt;"",W114,IF(AND(P_Source="Table fournie",U114&lt;&gt;""),U114,X114)))</f>
        <v/>
      </c>
      <c r="Z114" s="70" t="str">
        <f>IF(B114="","",IF(W114&lt;&gt;"","Forcé",IF(AND(P_Source="Table fournie",U114&lt;&gt;""),IF(V114="H","Table (hypothèse)","Table (sourcé)"),"Calculateur de Boris")))</f>
        <v/>
      </c>
    </row>
    <row r="115">
      <c r="B115" s="69" t="n"/>
      <c r="C115" s="69" t="n"/>
      <c r="D115" s="69" t="n"/>
      <c r="E115" s="34" t="str">
        <f>IF(B115="","",IF(D115&lt;&gt;"",D115,IF('Contrôles'!$J$147&gt;0,"Exclusive",IF('Contrôles'!$U$147&lt;&gt;"",'Contrôles'!$U$147,IFERROR(INDEX(F_Conv,MATCH(C115,F_Fam,0)),"Inclusive")))))</f>
        <v/>
      </c>
      <c r="F115" s="70" t="str">
        <f>IF(B115="","",IF(D115&lt;&gt;"","Forcée",IF('Contrôles'!$J$147&gt;0,"C2",IF('Contrôles'!$U$147&lt;&gt;"","C3","Défaut API"))))</f>
        <v/>
      </c>
      <c r="G115" s="71" t="str">
        <f>IF(B115="","",IF(E115="Exclusive",0,1))</f>
        <v/>
      </c>
      <c r="H115" s="71" t="str">
        <f>IF(B115="","",IF(E115="Inclusive",1,0))</f>
        <v/>
      </c>
      <c r="I115" s="69" t="n"/>
      <c r="J115" s="69" t="n"/>
      <c r="K115" s="69" t="n"/>
      <c r="L115" s="69" t="n"/>
      <c r="M115" s="69" t="n"/>
      <c r="N115" s="74" t="str">
        <f>IF(B115="","",IF(N(L115)&gt;0,I115/L115,0.2))</f>
        <v/>
      </c>
      <c r="O115" s="74" t="str">
        <f>IF(B115="","",IF(N(L115)&gt;0,J115/L115,0.02))</f>
        <v/>
      </c>
      <c r="P115" s="74" t="str">
        <f>IF(B115="","",IF(N(L115)&gt;0,IF(K115="",I115,K115)/L115,0.25))</f>
        <v/>
      </c>
      <c r="Q115" s="69" t="n"/>
      <c r="R115" s="69" t="n"/>
      <c r="S115" s="69" t="n"/>
      <c r="T115" s="69" t="n"/>
      <c r="U115" s="69" t="n"/>
      <c r="V115" s="69" t="n"/>
      <c r="W115" s="78" t="n"/>
      <c r="X115" s="79" t="str">
        <f>IF(B115="","",R115*S115*P_Mix/1000000+IF(P_Fab="Oui",T115,0))</f>
        <v/>
      </c>
      <c r="Y115" s="80" t="str">
        <f>IF(B115="","",IF(W115&lt;&gt;"",W115,IF(AND(P_Source="Table fournie",U115&lt;&gt;""),U115,X115)))</f>
        <v/>
      </c>
      <c r="Z115" s="70" t="str">
        <f>IF(B115="","",IF(W115&lt;&gt;"","Forcé",IF(AND(P_Source="Table fournie",U115&lt;&gt;""),IF(V115="H","Table (hypothèse)","Table (sourcé)"),"Calculateur de Boris")))</f>
        <v/>
      </c>
    </row>
    <row r="116">
      <c r="B116" s="69" t="n"/>
      <c r="C116" s="69" t="n"/>
      <c r="D116" s="69" t="n"/>
      <c r="E116" s="34" t="str">
        <f>IF(B116="","",IF(D116&lt;&gt;"",D116,IF('Contrôles'!$J$148&gt;0,"Exclusive",IF('Contrôles'!$U$148&lt;&gt;"",'Contrôles'!$U$148,IFERROR(INDEX(F_Conv,MATCH(C116,F_Fam,0)),"Inclusive")))))</f>
        <v/>
      </c>
      <c r="F116" s="70" t="str">
        <f>IF(B116="","",IF(D116&lt;&gt;"","Forcée",IF('Contrôles'!$J$148&gt;0,"C2",IF('Contrôles'!$U$148&lt;&gt;"","C3","Défaut API"))))</f>
        <v/>
      </c>
      <c r="G116" s="71" t="str">
        <f>IF(B116="","",IF(E116="Exclusive",0,1))</f>
        <v/>
      </c>
      <c r="H116" s="71" t="str">
        <f>IF(B116="","",IF(E116="Inclusive",1,0))</f>
        <v/>
      </c>
      <c r="I116" s="69" t="n"/>
      <c r="J116" s="69" t="n"/>
      <c r="K116" s="69" t="n"/>
      <c r="L116" s="69" t="n"/>
      <c r="M116" s="69" t="n"/>
      <c r="N116" s="74" t="str">
        <f>IF(B116="","",IF(N(L116)&gt;0,I116/L116,0.2))</f>
        <v/>
      </c>
      <c r="O116" s="74" t="str">
        <f>IF(B116="","",IF(N(L116)&gt;0,J116/L116,0.02))</f>
        <v/>
      </c>
      <c r="P116" s="74" t="str">
        <f>IF(B116="","",IF(N(L116)&gt;0,IF(K116="",I116,K116)/L116,0.25))</f>
        <v/>
      </c>
      <c r="Q116" s="69" t="n"/>
      <c r="R116" s="69" t="n"/>
      <c r="S116" s="69" t="n"/>
      <c r="T116" s="69" t="n"/>
      <c r="U116" s="69" t="n"/>
      <c r="V116" s="69" t="n"/>
      <c r="W116" s="78" t="n"/>
      <c r="X116" s="79" t="str">
        <f>IF(B116="","",R116*S116*P_Mix/1000000+IF(P_Fab="Oui",T116,0))</f>
        <v/>
      </c>
      <c r="Y116" s="80" t="str">
        <f>IF(B116="","",IF(W116&lt;&gt;"",W116,IF(AND(P_Source="Table fournie",U116&lt;&gt;""),U116,X116)))</f>
        <v/>
      </c>
      <c r="Z116" s="70" t="str">
        <f>IF(B116="","",IF(W116&lt;&gt;"","Forcé",IF(AND(P_Source="Table fournie",U116&lt;&gt;""),IF(V116="H","Table (hypothèse)","Table (sourcé)"),"Calculateur de Boris")))</f>
        <v/>
      </c>
    </row>
    <row r="117">
      <c r="B117" s="69" t="n"/>
      <c r="C117" s="69" t="n"/>
      <c r="D117" s="69" t="n"/>
      <c r="E117" s="34" t="str">
        <f>IF(B117="","",IF(D117&lt;&gt;"",D117,IF('Contrôles'!$J$149&gt;0,"Exclusive",IF('Contrôles'!$U$149&lt;&gt;"",'Contrôles'!$U$149,IFERROR(INDEX(F_Conv,MATCH(C117,F_Fam,0)),"Inclusive")))))</f>
        <v/>
      </c>
      <c r="F117" s="70" t="str">
        <f>IF(B117="","",IF(D117&lt;&gt;"","Forcée",IF('Contrôles'!$J$149&gt;0,"C2",IF('Contrôles'!$U$149&lt;&gt;"","C3","Défaut API"))))</f>
        <v/>
      </c>
      <c r="G117" s="71" t="str">
        <f>IF(B117="","",IF(E117="Exclusive",0,1))</f>
        <v/>
      </c>
      <c r="H117" s="71" t="str">
        <f>IF(B117="","",IF(E117="Inclusive",1,0))</f>
        <v/>
      </c>
      <c r="I117" s="69" t="n"/>
      <c r="J117" s="69" t="n"/>
      <c r="K117" s="69" t="n"/>
      <c r="L117" s="69" t="n"/>
      <c r="M117" s="69" t="n"/>
      <c r="N117" s="74" t="str">
        <f>IF(B117="","",IF(N(L117)&gt;0,I117/L117,0.2))</f>
        <v/>
      </c>
      <c r="O117" s="74" t="str">
        <f>IF(B117="","",IF(N(L117)&gt;0,J117/L117,0.02))</f>
        <v/>
      </c>
      <c r="P117" s="74" t="str">
        <f>IF(B117="","",IF(N(L117)&gt;0,IF(K117="",I117,K117)/L117,0.25))</f>
        <v/>
      </c>
      <c r="Q117" s="69" t="n"/>
      <c r="R117" s="69" t="n"/>
      <c r="S117" s="69" t="n"/>
      <c r="T117" s="69" t="n"/>
      <c r="U117" s="69" t="n"/>
      <c r="V117" s="69" t="n"/>
      <c r="W117" s="78" t="n"/>
      <c r="X117" s="79" t="str">
        <f>IF(B117="","",R117*S117*P_Mix/1000000+IF(P_Fab="Oui",T117,0))</f>
        <v/>
      </c>
      <c r="Y117" s="80" t="str">
        <f>IF(B117="","",IF(W117&lt;&gt;"",W117,IF(AND(P_Source="Table fournie",U117&lt;&gt;""),U117,X117)))</f>
        <v/>
      </c>
      <c r="Z117" s="70" t="str">
        <f>IF(B117="","",IF(W117&lt;&gt;"","Forcé",IF(AND(P_Source="Table fournie",U117&lt;&gt;""),IF(V117="H","Table (hypothèse)","Table (sourcé)"),"Calculateur de Boris")))</f>
        <v/>
      </c>
    </row>
    <row r="118">
      <c r="B118" s="69" t="n"/>
      <c r="C118" s="69" t="n"/>
      <c r="D118" s="69" t="n"/>
      <c r="E118" s="34" t="str">
        <f>IF(B118="","",IF(D118&lt;&gt;"",D118,IF('Contrôles'!$J$150&gt;0,"Exclusive",IF('Contrôles'!$U$150&lt;&gt;"",'Contrôles'!$U$150,IFERROR(INDEX(F_Conv,MATCH(C118,F_Fam,0)),"Inclusive")))))</f>
        <v/>
      </c>
      <c r="F118" s="70" t="str">
        <f>IF(B118="","",IF(D118&lt;&gt;"","Forcée",IF('Contrôles'!$J$150&gt;0,"C2",IF('Contrôles'!$U$150&lt;&gt;"","C3","Défaut API"))))</f>
        <v/>
      </c>
      <c r="G118" s="71" t="str">
        <f>IF(B118="","",IF(E118="Exclusive",0,1))</f>
        <v/>
      </c>
      <c r="H118" s="71" t="str">
        <f>IF(B118="","",IF(E118="Inclusive",1,0))</f>
        <v/>
      </c>
      <c r="I118" s="69" t="n"/>
      <c r="J118" s="69" t="n"/>
      <c r="K118" s="69" t="n"/>
      <c r="L118" s="69" t="n"/>
      <c r="M118" s="69" t="n"/>
      <c r="N118" s="74" t="str">
        <f>IF(B118="","",IF(N(L118)&gt;0,I118/L118,0.2))</f>
        <v/>
      </c>
      <c r="O118" s="74" t="str">
        <f>IF(B118="","",IF(N(L118)&gt;0,J118/L118,0.02))</f>
        <v/>
      </c>
      <c r="P118" s="74" t="str">
        <f>IF(B118="","",IF(N(L118)&gt;0,IF(K118="",I118,K118)/L118,0.25))</f>
        <v/>
      </c>
      <c r="Q118" s="69" t="n"/>
      <c r="R118" s="69" t="n"/>
      <c r="S118" s="69" t="n"/>
      <c r="T118" s="69" t="n"/>
      <c r="U118" s="69" t="n"/>
      <c r="V118" s="69" t="n"/>
      <c r="W118" s="78" t="n"/>
      <c r="X118" s="79" t="str">
        <f>IF(B118="","",R118*S118*P_Mix/1000000+IF(P_Fab="Oui",T118,0))</f>
        <v/>
      </c>
      <c r="Y118" s="80" t="str">
        <f>IF(B118="","",IF(W118&lt;&gt;"",W118,IF(AND(P_Source="Table fournie",U118&lt;&gt;""),U118,X118)))</f>
        <v/>
      </c>
      <c r="Z118" s="70" t="str">
        <f>IF(B118="","",IF(W118&lt;&gt;"","Forcé",IF(AND(P_Source="Table fournie",U118&lt;&gt;""),IF(V118="H","Table (hypothèse)","Table (sourcé)"),"Calculateur de Boris")))</f>
        <v/>
      </c>
    </row>
  </sheetData>
  <dataValidations count="10">
    <dataValidation sqref="C6" showDropDown="0" showInputMessage="0" showErrorMessage="0" allowBlank="0" type="list">
      <formula1>=Listes!$E$2:$E$3</formula1>
    </dataValidation>
    <dataValidation sqref="C7" showDropDown="0" showInputMessage="0" showErrorMessage="0" allowBlank="0" type="list">
      <formula1>=L_MixNom</formula1>
    </dataValidation>
    <dataValidation sqref="C10" showDropDown="0" showInputMessage="0" showErrorMessage="0" allowBlank="0" type="list">
      <formula1>=Listes!$F$2:$F$3</formula1>
    </dataValidation>
    <dataValidation sqref="C8" showDropDown="0" showInputMessage="0" showErrorMessage="0" allowBlank="0" type="decimal" operator="greaterThanOrEqual">
      <formula1>0</formula1>
    </dataValidation>
    <dataValidation sqref="C11" showDropDown="0" showInputMessage="0" showErrorMessage="0" allowBlank="0" type="decimal" operator="greaterThanOrEqual">
      <formula1>0</formula1>
    </dataValidation>
    <dataValidation sqref="C12" showDropDown="0" showInputMessage="0" showErrorMessage="0" allowBlank="0" type="decimal" operator="greaterThanOrEqual">
      <formula1>0</formula1>
    </dataValidation>
    <dataValidation sqref="C13" showDropDown="0" showInputMessage="0" showErrorMessage="0" allowBlank="0" type="decimal" operator="greaterThanOrEqual">
      <formula1>0</formula1>
    </dataValidation>
    <dataValidation sqref="D30:D118" showDropDown="0" showInputMessage="0" showErrorMessage="0" allowBlank="1" type="list">
      <formula1>=Listes!$G$2:$G$4</formula1>
    </dataValidation>
    <dataValidation sqref="C30:C118" showDropDown="0" showInputMessage="0" showErrorMessage="0" allowBlank="1" type="list">
      <formula1>=F_Fam</formula1>
    </dataValidation>
    <dataValidation sqref="H7:H14" showDropDown="0" showInputMessage="0" showErrorMessage="0" allowBlank="0" type="list">
      <formula1>=Listes!$G$2:$G$4</formula1>
    </dataValidation>
  </dataValidations>
  <pageMargins left="0.75" right="0.75" top="1" bottom="1" header="0.5" footer="0.5"/>
</worksheet>
</file>

<file path=xl/worksheets/sheet5.xml><?xml version="1.0" encoding="utf-8"?>
<worksheet xmlns="http://schemas.openxmlformats.org/spreadsheetml/2006/main">
  <sheetPr>
    <tabColor rgb="00737885"/>
    <outlinePr summaryBelow="1" summaryRight="1"/>
    <pageSetUpPr/>
  </sheetPr>
  <dimension ref="A2:U150"/>
  <sheetViews>
    <sheetView showGridLines="0" tabSelected="0" zoomScale="90" workbookViewId="0">
      <selection activeCell="A1" sqref="A1"/>
    </sheetView>
  </sheetViews>
  <sheetFormatPr baseColWidth="8" defaultRowHeight="15"/>
  <cols>
    <col width="2.5" customWidth="1" min="1" max="1"/>
    <col width="52" customWidth="1" min="2" max="2"/>
    <col width="16" customWidth="1" min="3" max="3"/>
    <col width="14" customWidth="1" min="4" max="4"/>
    <col width="14" customWidth="1" min="5" max="5"/>
    <col width="14"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0" customWidth="1" min="14" max="14"/>
    <col width="10" customWidth="1" min="15" max="15"/>
    <col width="10" customWidth="1" min="16" max="16"/>
    <col width="13" customWidth="1" min="17" max="17"/>
    <col width="13" customWidth="1" min="18" max="18"/>
    <col width="9" customWidth="1" min="19" max="19"/>
    <col width="13" customWidth="1" min="20" max="20"/>
    <col width="14" customWidth="1" min="21" max="21"/>
  </cols>
  <sheetData>
    <row r="2" ht="28" customHeight="1">
      <c r="B2" s="1" t="inlineStr">
        <is>
          <t>Contrôles</t>
        </is>
      </c>
    </row>
    <row r="3">
      <c r="B3" s="2" t="inlineStr">
        <is>
          <t>Contrôles de cohérence de la méthode (C1 à C6), sur toutes les données importées sauf C6 (année affichée).</t>
        </is>
      </c>
    </row>
    <row r="5">
      <c r="B5" s="26" t="inlineStr">
        <is>
          <t>C1 · Complétude de l'import</t>
        </is>
      </c>
      <c r="C5" s="27" t="n"/>
      <c r="D5" s="27" t="n"/>
      <c r="E5" s="27" t="n"/>
    </row>
    <row r="6">
      <c r="B6" s="7" t="inlineStr">
        <is>
          <t>Lignes importées</t>
        </is>
      </c>
      <c r="C6" s="82">
        <f>MAX(0,COUNTA(D_Date)-1)</f>
        <v>0</v>
      </c>
    </row>
    <row r="7">
      <c r="B7" s="7" t="inlineStr">
        <is>
          <t>Lignes avec une date lisible</t>
        </is>
      </c>
      <c r="C7" s="82">
        <f>COUNT(D_Jour)</f>
        <v>0</v>
      </c>
    </row>
    <row r="8">
      <c r="B8" s="7" t="inlineStr">
        <is>
          <t>Lignes hors Copilot (exclues)</t>
        </is>
      </c>
      <c r="C8" s="82">
        <f>MAX(0,COUNTA(D_Prod)-1-COUNTIF(D_Prod,"*copilot*"))</f>
        <v>0</v>
      </c>
      <c r="D8" s="64" t="str">
        <f>IF(C8&gt;0,"⚠ Ces lignes ne sont pas comptées.","")</f>
        <v/>
      </c>
    </row>
    <row r="9">
      <c r="B9" s="7" t="inlineStr">
        <is>
          <t>Lignes sans aucun token</t>
        </is>
      </c>
      <c r="C9" s="82">
        <f>COUNTIFS(D_I,0,D_O,0,D_CR,0,D_CW,0)</f>
        <v>0</v>
      </c>
    </row>
    <row r="10">
      <c r="B10" s="7" t="inlineStr">
        <is>
          <t>Lignes de modèles inconnus (« Autre modèle »)</t>
        </is>
      </c>
      <c r="C10" s="82">
        <f>COUNTIF(D_Grp,"(Autre modèle)")</f>
        <v>0</v>
      </c>
      <c r="D10" s="64" t="str">
        <f>IF(C10&gt;0,"⚠ Ajoutez ces modèles dans Calcul (ligne vide en bas de la table) ; en attendant ils utilisent la ligne « (Autre modèle) ».","✓ Tous les modèles sont reconnus.")</f>
        <v>✓ Tous les modèles sont reconnus.</v>
      </c>
    </row>
    <row r="11">
      <c r="B11" s="7" t="inlineStr">
        <is>
          <t>Premier jour de données</t>
        </is>
      </c>
      <c r="C11" s="83">
        <f>S_First</f>
        <v>46023.0</v>
      </c>
    </row>
    <row r="12">
      <c r="B12" s="7" t="inlineStr">
        <is>
          <t>Dernier jour de données</t>
        </is>
      </c>
      <c r="C12" s="83">
        <f>S_Last</f>
        <v>46023.0</v>
      </c>
    </row>
    <row r="13"/>
    <row r="14">
      <c r="B14" s="26" t="inlineStr">
        <is>
          <t>C3 · Rapprochement des coûts par famille (montant brut ÷ coût recalculé)</t>
        </is>
      </c>
      <c r="C14" s="27" t="n"/>
      <c r="D14" s="27" t="n"/>
      <c r="E14" s="27" t="n"/>
      <c r="F14" s="27" t="n"/>
      <c r="G14" s="27" t="n"/>
      <c r="H14" s="27" t="n"/>
      <c r="I14" s="27" t="n"/>
      <c r="J14" s="27" t="n"/>
      <c r="K14" s="27" t="n"/>
    </row>
    <row r="15">
      <c r="B15" s="14" t="inlineStr">
        <is>
          <t>Pour chaque hypothèse de convention, le coût est recalculé avec la grille GitHub. La bonne hypothèse donne un rapport entre 0,90 et 1,00 (remises éventuelles). Calcul agrégé par famille.</t>
        </is>
      </c>
    </row>
    <row r="16">
      <c r="B16" s="39" t="inlineStr">
        <is>
          <t>Famille</t>
        </is>
      </c>
      <c r="C16" s="40" t="inlineStr">
        <is>
          <t>Montant brut ($)</t>
        </is>
      </c>
      <c r="D16" s="40" t="inlineStr">
        <is>
          <t>Coût inclusive ($)</t>
        </is>
      </c>
      <c r="E16" s="40" t="inlineStr">
        <is>
          <t>Coût mixte ($)</t>
        </is>
      </c>
      <c r="F16" s="40" t="inlineStr">
        <is>
          <t>Coût exclusive ($)</t>
        </is>
      </c>
      <c r="G16" s="40" t="inlineStr">
        <is>
          <t>R inclusive</t>
        </is>
      </c>
      <c r="H16" s="40" t="inlineStr">
        <is>
          <t>R mixte</t>
        </is>
      </c>
      <c r="I16" s="40" t="inlineStr">
        <is>
          <t>R exclusive</t>
        </is>
      </c>
      <c r="J16" s="40" t="inlineStr">
        <is>
          <t>Décision C3</t>
        </is>
      </c>
    </row>
    <row r="17">
      <c r="B17" s="7" t="inlineStr">
        <is>
          <t>Anthropic</t>
        </is>
      </c>
      <c r="C17" s="46">
        <f>SUMIF(K_Fam,B17,K_BrutP)</f>
        <v>0</v>
      </c>
      <c r="D17" s="46">
        <f>SUMIF(K_Fam,B17,K_Ci)</f>
        <v>0</v>
      </c>
      <c r="E17" s="46">
        <f>SUMIF(K_Fam,B17,K_Cm)</f>
        <v>0</v>
      </c>
      <c r="F17" s="46">
        <f>SUMIF(K_Fam,B17,K_Ce)</f>
        <v>0</v>
      </c>
      <c r="G17" s="84" t="str">
        <f>IF(D17&gt;0,C17/D17,"")</f>
        <v/>
      </c>
      <c r="H17" s="84" t="str">
        <f>IF(E17&gt;0,C17/E17,"")</f>
        <v/>
      </c>
      <c r="I17" s="84" t="str">
        <f>IF(F17&gt;0,C17/F17,"")</f>
        <v/>
      </c>
      <c r="J17" s="12" t="str">
        <f>IF(C17&lt;=0,"",IF(AND(N(G17)&gt;=0.895,N(G17)&lt;=1.005),"Inclusive",IF(AND(N(H17)&gt;=0.895,N(H17)&lt;=1.005),"Mixte",IF(AND(N(I17)&gt;=0.895,N(I17)&lt;=1.005),"Exclusive",""))))</f>
        <v/>
      </c>
    </row>
    <row r="18">
      <c r="B18" s="7" t="inlineStr">
        <is>
          <t>OpenAI ≥ GPT-5.6</t>
        </is>
      </c>
      <c r="C18" s="46">
        <f>SUMIF(K_Fam,B18,K_BrutP)</f>
        <v>0</v>
      </c>
      <c r="D18" s="46">
        <f>SUMIF(K_Fam,B18,K_Ci)</f>
        <v>0</v>
      </c>
      <c r="E18" s="46">
        <f>SUMIF(K_Fam,B18,K_Cm)</f>
        <v>0</v>
      </c>
      <c r="F18" s="46">
        <f>SUMIF(K_Fam,B18,K_Ce)</f>
        <v>0</v>
      </c>
      <c r="G18" s="84" t="str">
        <f>IF(D18&gt;0,C18/D18,"")</f>
        <v/>
      </c>
      <c r="H18" s="84" t="str">
        <f>IF(E18&gt;0,C18/E18,"")</f>
        <v/>
      </c>
      <c r="I18" s="84" t="str">
        <f>IF(F18&gt;0,C18/F18,"")</f>
        <v/>
      </c>
      <c r="J18" s="12" t="str">
        <f>IF(C18&lt;=0,"",IF(AND(N(G18)&gt;=0.895,N(G18)&lt;=1.005),"Inclusive",IF(AND(N(H18)&gt;=0.895,N(H18)&lt;=1.005),"Mixte",IF(AND(N(I18)&gt;=0.895,N(I18)&lt;=1.005),"Exclusive",""))))</f>
        <v/>
      </c>
    </row>
    <row r="19">
      <c r="B19" s="7" t="inlineStr">
        <is>
          <t>OpenAI &lt; GPT-5.6</t>
        </is>
      </c>
      <c r="C19" s="46">
        <f>SUMIF(K_Fam,B19,K_BrutP)</f>
        <v>0</v>
      </c>
      <c r="D19" s="46">
        <f>SUMIF(K_Fam,B19,K_Ci)</f>
        <v>0</v>
      </c>
      <c r="E19" s="46">
        <f>SUMIF(K_Fam,B19,K_Cm)</f>
        <v>0</v>
      </c>
      <c r="F19" s="46">
        <f>SUMIF(K_Fam,B19,K_Ce)</f>
        <v>0</v>
      </c>
      <c r="G19" s="84" t="str">
        <f>IF(D19&gt;0,C19/D19,"")</f>
        <v/>
      </c>
      <c r="H19" s="84" t="str">
        <f>IF(E19&gt;0,C19/E19,"")</f>
        <v/>
      </c>
      <c r="I19" s="84" t="str">
        <f>IF(F19&gt;0,C19/F19,"")</f>
        <v/>
      </c>
      <c r="J19" s="12" t="str">
        <f>IF(C19&lt;=0,"",IF(AND(N(G19)&gt;=0.895,N(G19)&lt;=1.005),"Inclusive",IF(AND(N(H19)&gt;=0.895,N(H19)&lt;=1.005),"Mixte",IF(AND(N(I19)&gt;=0.895,N(I19)&lt;=1.005),"Exclusive",""))))</f>
        <v/>
      </c>
    </row>
    <row r="20">
      <c r="B20" s="7" t="inlineStr">
        <is>
          <t>Google Gemini</t>
        </is>
      </c>
      <c r="C20" s="46">
        <f>SUMIF(K_Fam,B20,K_BrutP)</f>
        <v>0</v>
      </c>
      <c r="D20" s="46">
        <f>SUMIF(K_Fam,B20,K_Ci)</f>
        <v>0</v>
      </c>
      <c r="E20" s="46">
        <f>SUMIF(K_Fam,B20,K_Cm)</f>
        <v>0</v>
      </c>
      <c r="F20" s="46">
        <f>SUMIF(K_Fam,B20,K_Ce)</f>
        <v>0</v>
      </c>
      <c r="G20" s="84" t="str">
        <f>IF(D20&gt;0,C20/D20,"")</f>
        <v/>
      </c>
      <c r="H20" s="84" t="str">
        <f>IF(E20&gt;0,C20/E20,"")</f>
        <v/>
      </c>
      <c r="I20" s="84" t="str">
        <f>IF(F20&gt;0,C20/F20,"")</f>
        <v/>
      </c>
      <c r="J20" s="12" t="str">
        <f>IF(C20&lt;=0,"",IF(AND(N(G20)&gt;=0.895,N(G20)&lt;=1.005),"Inclusive",IF(AND(N(H20)&gt;=0.895,N(H20)&lt;=1.005),"Mixte",IF(AND(N(I20)&gt;=0.895,N(I20)&lt;=1.005),"Exclusive",""))))</f>
        <v/>
      </c>
    </row>
    <row r="21">
      <c r="B21" s="7" t="inlineStr">
        <is>
          <t>xAI Grok</t>
        </is>
      </c>
      <c r="C21" s="46">
        <f>SUMIF(K_Fam,B21,K_BrutP)</f>
        <v>0</v>
      </c>
      <c r="D21" s="46">
        <f>SUMIF(K_Fam,B21,K_Ci)</f>
        <v>0</v>
      </c>
      <c r="E21" s="46">
        <f>SUMIF(K_Fam,B21,K_Cm)</f>
        <v>0</v>
      </c>
      <c r="F21" s="46">
        <f>SUMIF(K_Fam,B21,K_Ce)</f>
        <v>0</v>
      </c>
      <c r="G21" s="84" t="str">
        <f>IF(D21&gt;0,C21/D21,"")</f>
        <v/>
      </c>
      <c r="H21" s="84" t="str">
        <f>IF(E21&gt;0,C21/E21,"")</f>
        <v/>
      </c>
      <c r="I21" s="84" t="str">
        <f>IF(F21&gt;0,C21/F21,"")</f>
        <v/>
      </c>
      <c r="J21" s="12" t="str">
        <f>IF(C21&lt;=0,"",IF(AND(N(G21)&gt;=0.895,N(G21)&lt;=1.005),"Inclusive",IF(AND(N(H21)&gt;=0.895,N(H21)&lt;=1.005),"Mixte",IF(AND(N(I21)&gt;=0.895,N(I21)&lt;=1.005),"Exclusive",""))))</f>
        <v/>
      </c>
    </row>
    <row r="22">
      <c r="B22" s="7" t="inlineStr">
        <is>
          <t>Moonshot Kimi</t>
        </is>
      </c>
      <c r="C22" s="46">
        <f>SUMIF(K_Fam,B22,K_BrutP)</f>
        <v>0</v>
      </c>
      <c r="D22" s="46">
        <f>SUMIF(K_Fam,B22,K_Ci)</f>
        <v>0</v>
      </c>
      <c r="E22" s="46">
        <f>SUMIF(K_Fam,B22,K_Cm)</f>
        <v>0</v>
      </c>
      <c r="F22" s="46">
        <f>SUMIF(K_Fam,B22,K_Ce)</f>
        <v>0</v>
      </c>
      <c r="G22" s="84" t="str">
        <f>IF(D22&gt;0,C22/D22,"")</f>
        <v/>
      </c>
      <c r="H22" s="84" t="str">
        <f>IF(E22&gt;0,C22/E22,"")</f>
        <v/>
      </c>
      <c r="I22" s="84" t="str">
        <f>IF(F22&gt;0,C22/F22,"")</f>
        <v/>
      </c>
      <c r="J22" s="12" t="str">
        <f>IF(C22&lt;=0,"",IF(AND(N(G22)&gt;=0.895,N(G22)&lt;=1.005),"Inclusive",IF(AND(N(H22)&gt;=0.895,N(H22)&lt;=1.005),"Mixte",IF(AND(N(I22)&gt;=0.895,N(I22)&lt;=1.005),"Exclusive",""))))</f>
        <v/>
      </c>
    </row>
    <row r="23">
      <c r="B23" s="7" t="inlineStr">
        <is>
          <t>Microsoft MAI</t>
        </is>
      </c>
      <c r="C23" s="46">
        <f>SUMIF(K_Fam,B23,K_BrutP)</f>
        <v>0</v>
      </c>
      <c r="D23" s="46">
        <f>SUMIF(K_Fam,B23,K_Ci)</f>
        <v>0</v>
      </c>
      <c r="E23" s="46">
        <f>SUMIF(K_Fam,B23,K_Cm)</f>
        <v>0</v>
      </c>
      <c r="F23" s="46">
        <f>SUMIF(K_Fam,B23,K_Ce)</f>
        <v>0</v>
      </c>
      <c r="G23" s="84" t="str">
        <f>IF(D23&gt;0,C23/D23,"")</f>
        <v/>
      </c>
      <c r="H23" s="84" t="str">
        <f>IF(E23&gt;0,C23/E23,"")</f>
        <v/>
      </c>
      <c r="I23" s="84" t="str">
        <f>IF(F23&gt;0,C23/F23,"")</f>
        <v/>
      </c>
      <c r="J23" s="12" t="str">
        <f>IF(C23&lt;=0,"",IF(AND(N(G23)&gt;=0.895,N(G23)&lt;=1.005),"Inclusive",IF(AND(N(H23)&gt;=0.895,N(H23)&lt;=1.005),"Mixte",IF(AND(N(I23)&gt;=0.895,N(I23)&lt;=1.005),"Exclusive",""))))</f>
        <v/>
      </c>
    </row>
    <row r="24">
      <c r="B24" s="7" t="inlineStr">
        <is>
          <t>Hors grille</t>
        </is>
      </c>
      <c r="C24" s="46">
        <f>SUMIF(K_Fam,B24,K_BrutP)</f>
        <v>0</v>
      </c>
      <c r="D24" s="46">
        <f>SUMIF(K_Fam,B24,K_Ci)</f>
        <v>0</v>
      </c>
      <c r="E24" s="46">
        <f>SUMIF(K_Fam,B24,K_Cm)</f>
        <v>0</v>
      </c>
      <c r="F24" s="46">
        <f>SUMIF(K_Fam,B24,K_Ce)</f>
        <v>0</v>
      </c>
      <c r="G24" s="84" t="str">
        <f>IF(D24&gt;0,C24/D24,"")</f>
        <v/>
      </c>
      <c r="H24" s="84" t="str">
        <f>IF(E24&gt;0,C24/E24,"")</f>
        <v/>
      </c>
      <c r="I24" s="84" t="str">
        <f>IF(F24&gt;0,C24/F24,"")</f>
        <v/>
      </c>
      <c r="J24" s="12" t="str">
        <f>IF(C24&lt;=0,"",IF(AND(N(G24)&gt;=0.895,N(G24)&lt;=1.005),"Inclusive",IF(AND(N(H24)&gt;=0.895,N(H24)&lt;=1.005),"Mixte",IF(AND(N(I24)&gt;=0.895,N(I24)&lt;=1.005),"Exclusive",""))))</f>
        <v/>
      </c>
    </row>
    <row r="25"/>
    <row r="26"/>
    <row r="27">
      <c r="B27" s="26" t="inlineStr">
        <is>
          <t>C4 · Cas particuliers</t>
        </is>
      </c>
      <c r="C27" s="27" t="n"/>
      <c r="D27" s="27" t="n"/>
      <c r="E27" s="27" t="n"/>
    </row>
    <row r="28">
      <c r="B28" s="7" t="inlineStr">
        <is>
          <t>Lignes avec cache write non facturé (s_CW = s_I appliqué)</t>
        </is>
      </c>
      <c r="C28" s="85">
        <f>SUM(D_C4CW)</f>
        <v>0</v>
      </c>
    </row>
    <row r="29">
      <c r="B29" s="7" t="inlineStr">
        <is>
          <t>Lignes où I − δ·CR − ε·CW &lt; 0 (input frais ramené à 0)</t>
        </is>
      </c>
      <c r="C29" s="85">
        <f>SUM(D_C4F)</f>
        <v>0</v>
      </c>
      <c r="D29" s="64" t="str">
        <f>IF(C29&gt;0,"⚠ Vérifiez la convention des modèles concernés (colonne C4_input_frais_negatif de Données).","")</f>
        <v/>
      </c>
    </row>
    <row r="30"/>
    <row r="31">
      <c r="B31" s="26" t="inlineStr">
        <is>
          <t>C5 · Boucle globale des coûts</t>
        </is>
      </c>
      <c r="C31" s="27" t="n"/>
      <c r="D31" s="27" t="n"/>
      <c r="E31" s="27" t="n"/>
    </row>
    <row r="32">
      <c r="B32" s="7" t="inlineStr">
        <is>
          <t>Montant brut des modèles tarifés ($)</t>
        </is>
      </c>
      <c r="C32" s="46">
        <f>SUMIF(K_Cr,"&gt;0",K_BrutP)</f>
        <v>0</v>
      </c>
    </row>
    <row r="33">
      <c r="B33" s="7" t="inlineStr">
        <is>
          <t>Coût recalculé, conventions appliquées ($)</t>
        </is>
      </c>
      <c r="C33" s="46">
        <f>SUM(K_Cr)</f>
        <v>0</v>
      </c>
    </row>
    <row r="34">
      <c r="B34" s="7" t="inlineStr">
        <is>
          <t>Rapport</t>
        </is>
      </c>
      <c r="C34" s="86" t="str">
        <f>IF(C33&gt;0,C32/C33,"")</f>
        <v/>
      </c>
      <c r="D34" s="64" t="str">
        <f>IF(C33&lt;=0,"",IF(AND(C34&gt;=0.895,C34&lt;=1.005),"✓ Dans la plage 0,90–1,00","⚠ Hors plage 0,90–1,00 : vérifier conventions, tarifs ou remises"))</f>
        <v/>
      </c>
    </row>
    <row r="35"/>
    <row r="36">
      <c r="B36" s="26" t="inlineStr">
        <is>
          <t>C6 · Sensibilité (année affichée)</t>
        </is>
      </c>
      <c r="C36" s="32" t="inlineStr">
        <is>
          <t>kgCO₂e</t>
        </is>
      </c>
      <c r="D36" s="40" t="inlineStr">
        <is>
          <t>Écart / central</t>
        </is>
      </c>
      <c r="E36" s="27" t="n"/>
    </row>
    <row r="37">
      <c r="B37" s="7" t="inlineStr">
        <is>
          <t>Résultat central</t>
        </is>
      </c>
      <c r="C37" s="87">
        <f>SUM(I_CO2)</f>
        <v>0</v>
      </c>
      <c r="D37" s="88" t="str">
        <f>IF($C$37&gt;0,C37/$C$37-1,"")</f>
        <v/>
      </c>
    </row>
    <row r="38">
      <c r="B38" s="7" t="inlineStr">
        <is>
          <t>Tout au Calculateur de Boris, mix retenu</t>
        </is>
      </c>
      <c r="C38" s="87">
        <f>SUMPRODUCT(I_TO,M_FEC)</f>
        <v>0</v>
      </c>
      <c r="D38" s="88" t="str">
        <f>IF($C$37&gt;0,C38/$C$37-1,"")</f>
        <v/>
      </c>
    </row>
    <row r="39">
      <c r="B39" s="7" t="inlineStr">
        <is>
          <t>Calculateur de Boris, France (2020, EEA) 51,1 g/kWh</t>
        </is>
      </c>
      <c r="C39" s="87">
        <f>SUMPRODUCT(I_TO,M_eO,M_PUE)*51.1/1000000+IF(P_Fab="Oui",SUMPRODUCT(I_TO,M_Fab),0)</f>
        <v>0</v>
      </c>
      <c r="D39" s="88" t="str">
        <f>IF($C$37&gt;0,C39/$C$37-1,"")</f>
        <v/>
      </c>
    </row>
    <row r="40">
      <c r="B40" s="7" t="inlineStr">
        <is>
          <t>Calculateur de Boris, Union européenne (2025, IEA) 170 g/kWh</t>
        </is>
      </c>
      <c r="C40" s="87">
        <f>SUMPRODUCT(I_TO,M_eO,M_PUE)*170/1000000+IF(P_Fab="Oui",SUMPRODUCT(I_TO,M_Fab),0)</f>
        <v>0</v>
      </c>
      <c r="D40" s="88" t="str">
        <f>IF($C$37&gt;0,C40/$C$37-1,"")</f>
        <v/>
      </c>
    </row>
    <row r="41">
      <c r="B41" s="7" t="inlineStr">
        <is>
          <t>Calculateur de Boris, Monde (2025, IEA) 435 g/kWh</t>
        </is>
      </c>
      <c r="C41" s="87">
        <f>SUMPRODUCT(I_TO,M_eO,M_PUE)*435/1000000+IF(P_Fab="Oui",SUMPRODUCT(I_TO,M_Fab),0)</f>
        <v>0</v>
      </c>
      <c r="D41" s="88" t="str">
        <f>IF($C$37&gt;0,C41/$C$37-1,"")</f>
        <v/>
      </c>
    </row>
    <row r="42">
      <c r="B42" s="7" t="inlineStr">
        <is>
          <t>Calculateur de Boris, mix retenu, sans fabrication</t>
        </is>
      </c>
      <c r="C42" s="87">
        <f>SUMPRODUCT(I_TO,M_eO,M_PUE)*P_Mix/1000000</f>
        <v>0</v>
      </c>
      <c r="D42" s="88" t="str">
        <f>IF($C$37&gt;0,C42/$C$37-1,"")</f>
        <v/>
      </c>
    </row>
    <row r="43">
      <c r="B43" s="7" t="inlineStr">
        <is>
          <t>Fourchette basse (résultat central × basse)</t>
        </is>
      </c>
      <c r="C43" s="87">
        <f>C37*P_Lo</f>
        <v>0</v>
      </c>
      <c r="D43" s="88" t="str">
        <f>IF($C$37&gt;0,C43/$C$37-1,"")</f>
        <v/>
      </c>
    </row>
    <row r="44">
      <c r="B44" s="7" t="inlineStr">
        <is>
          <t>Fourchette haute (résultat central × haute)</t>
        </is>
      </c>
      <c r="C44" s="87">
        <f>C37*P_Hi</f>
        <v>0</v>
      </c>
      <c r="D44" s="88" t="str">
        <f>IF($C$37&gt;0,C44/$C$37-1,"")</f>
        <v/>
      </c>
    </row>
    <row r="45"/>
    <row r="59">
      <c r="B59" s="26" t="inlineStr">
        <is>
          <t>C2 et C3 par modèle (toutes données)</t>
        </is>
      </c>
      <c r="C59" s="27" t="n"/>
      <c r="D59" s="27" t="n"/>
      <c r="E59" s="27" t="n"/>
      <c r="F59" s="27" t="n"/>
      <c r="G59" s="27" t="n"/>
      <c r="H59" s="27" t="n"/>
      <c r="I59" s="27" t="n"/>
      <c r="J59" s="27" t="n"/>
      <c r="K59" s="27" t="n"/>
      <c r="L59" s="27" t="n"/>
      <c r="M59" s="27" t="n"/>
      <c r="N59" s="27" t="n"/>
      <c r="O59" s="27" t="n"/>
      <c r="P59" s="27" t="n"/>
      <c r="Q59" s="27" t="n"/>
      <c r="R59" s="27" t="n"/>
      <c r="S59" s="27" t="n"/>
      <c r="T59" s="27" t="n"/>
      <c r="U59" s="27" t="n"/>
    </row>
    <row r="60">
      <c r="B60" s="14" t="inlineStr">
        <is>
          <t>C2 : si CR + CW dépasse I sur au moins une ligne, l'input ne contient pas le cache (convention exclusive). Coûts recalculés sans le plancher à 0 de l'input frais.</t>
        </is>
      </c>
    </row>
    <row r="61" ht="42" customHeight="1">
      <c r="B61" s="39" t="inlineStr">
        <is>
          <t>Modèle</t>
        </is>
      </c>
      <c r="C61" s="40" t="inlineStr">
        <is>
          <t>Famille</t>
        </is>
      </c>
      <c r="D61" s="40" t="inlineStr">
        <is>
          <t>Lignes</t>
        </is>
      </c>
      <c r="E61" s="40" t="inlineStr">
        <is>
          <t>Σ input</t>
        </is>
      </c>
      <c r="F61" s="40" t="inlineStr">
        <is>
          <t>Σ cache read</t>
        </is>
      </c>
      <c r="G61" s="40" t="inlineStr">
        <is>
          <t>Σ cache write</t>
        </is>
      </c>
      <c r="H61" s="40" t="inlineStr">
        <is>
          <t>Σ output</t>
        </is>
      </c>
      <c r="I61" s="40" t="inlineStr">
        <is>
          <t>Montant brut ($)</t>
        </is>
      </c>
      <c r="J61" s="40" t="inlineStr">
        <is>
          <t>C2 : lignes cache &gt; input</t>
        </is>
      </c>
      <c r="K61" s="40" t="inlineStr">
        <is>
          <t>Coût inclusive ($)</t>
        </is>
      </c>
      <c r="L61" s="40" t="inlineStr">
        <is>
          <t>Coût mixte ($)</t>
        </is>
      </c>
      <c r="M61" s="40" t="inlineStr">
        <is>
          <t>Coût exclusive ($)</t>
        </is>
      </c>
      <c r="N61" s="40" t="inlineStr">
        <is>
          <t>R inclusive</t>
        </is>
      </c>
      <c r="O61" s="40" t="inlineStr">
        <is>
          <t>R mixte</t>
        </is>
      </c>
      <c r="P61" s="40" t="inlineStr">
        <is>
          <t>R exclusive</t>
        </is>
      </c>
      <c r="Q61" s="40" t="inlineStr">
        <is>
          <t>Convention appliquée</t>
        </is>
      </c>
      <c r="R61" s="40" t="inlineStr">
        <is>
          <t>Coût retenu ($)</t>
        </is>
      </c>
      <c r="S61" s="40" t="inlineStr">
        <is>
          <t>R retenu</t>
        </is>
      </c>
      <c r="T61" s="40" t="inlineStr">
        <is>
          <t>Verdict</t>
        </is>
      </c>
      <c r="U61" s="40" t="inlineStr">
        <is>
          <t>Décision C3 (famille)</t>
        </is>
      </c>
    </row>
    <row r="62">
      <c r="B62" s="89" t="str">
        <f>IF(Calcul!B30="","",Calcul!B30)</f>
        <v>GPT-5.3-Codex</v>
      </c>
      <c r="C62" s="89" t="str">
        <f>IF(B62="","",Calcul!C30)</f>
        <v>OpenAI &lt; GPT-5.6</v>
      </c>
      <c r="D62" s="90">
        <f>IF(B62="",0,COUNTIF(D_Cle,B62))</f>
        <v>0</v>
      </c>
      <c r="E62" s="91">
        <f>IF(B62="",0,SUMIF(D_Cle,B62,D_I))</f>
        <v>0</v>
      </c>
      <c r="F62" s="91">
        <f>IF(B62="",0,SUMIF(D_Cle,B62,D_CR))</f>
        <v>0</v>
      </c>
      <c r="G62" s="91">
        <f>IF(B62="",0,SUMIF(D_Cle,B62,D_CW))</f>
        <v>0</v>
      </c>
      <c r="H62" s="91">
        <f>IF(B62="",0,SUMIF(D_Cle,B62,D_O))</f>
        <v>0</v>
      </c>
      <c r="I62" s="92">
        <f>IF(B62="",0,SUMIF(D_Cle,B62,D_Brut))</f>
        <v>0</v>
      </c>
      <c r="J62" s="90">
        <f>IF(B62="",0,SUMIF(D_Cle,B62,D_C2))</f>
        <v>0</v>
      </c>
      <c r="K62" s="92">
        <f>IF(AND(B62&lt;&gt;"",N(Calcul!L30)&gt;0),(Calcul!I30*(E62-F62-G62)+N(Calcul!J30)*F62+IF(Calcul!K30="",Calcul!I30,Calcul!K30)*G62+N(Calcul!L30)*H62)/1000000,0)</f>
        <v>0</v>
      </c>
      <c r="L62" s="92">
        <f>IF(AND(B62&lt;&gt;"",N(Calcul!L30)&gt;0),(Calcul!I30*(E62-F62)+N(Calcul!J30)*F62+IF(Calcul!K30="",Calcul!I30,Calcul!K30)*G62+N(Calcul!L30)*H62)/1000000,0)</f>
        <v>0</v>
      </c>
      <c r="M62" s="92">
        <f>IF(AND(B62&lt;&gt;"",N(Calcul!L30)&gt;0),(Calcul!I30*E62+N(Calcul!J30)*F62+IF(Calcul!K30="",Calcul!I30,Calcul!K30)*G62+N(Calcul!L30)*H62)/1000000,0)</f>
        <v>0</v>
      </c>
      <c r="N62" s="93" t="str">
        <f>IF(K62&gt;0,I62/K62,"")</f>
        <v/>
      </c>
      <c r="O62" s="93" t="str">
        <f>IF(L62&gt;0,I62/L62,"")</f>
        <v/>
      </c>
      <c r="P62" s="93" t="str">
        <f>IF(M62&gt;0,I62/M62,"")</f>
        <v/>
      </c>
      <c r="Q62" s="89" t="str">
        <f>IF(B62="","",Calcul!E30)</f>
        <v>Inclusive</v>
      </c>
      <c r="R62" s="92">
        <f>IF(AND(B62&lt;&gt;"",N(Calcul!L30)&gt;0),(Calcul!I30*(E62-Calcul!G30*F62-Calcul!H30*G62)+N(Calcul!J30)*F62+IF(Calcul!K30="",Calcul!I30,Calcul!K30)*G62+N(Calcul!L30)*H62)/1000000,0)</f>
        <v>0</v>
      </c>
      <c r="S62" s="93" t="str">
        <f>IF(R62&gt;0,I62/R62,"")</f>
        <v/>
      </c>
      <c r="T62" s="89" t="str">
        <f>IF(OR(B62="",D62=0),"",IF(S62="","Sans tarif",IF(AND(S62&gt;=0.895,S62&lt;=1.005),"✓ Cohérent","⚠ Hors plage")))</f>
        <v/>
      </c>
      <c r="U62" s="89" t="str">
        <f>IF(B62="","",IFERROR(INDEX(K_FamDec,MATCH(C62,K_FamNom,0)),""))</f>
        <v/>
      </c>
    </row>
    <row r="63">
      <c r="B63" s="89" t="str">
        <f>IF(Calcul!B31="","",Calcul!B31)</f>
        <v>GPT-5.4 nano</v>
      </c>
      <c r="C63" s="89" t="str">
        <f>IF(B63="","",Calcul!C31)</f>
        <v>OpenAI &lt; GPT-5.6</v>
      </c>
      <c r="D63" s="90">
        <f>IF(B63="",0,COUNTIF(D_Cle,B63))</f>
        <v>0</v>
      </c>
      <c r="E63" s="91">
        <f>IF(B63="",0,SUMIF(D_Cle,B63,D_I))</f>
        <v>0</v>
      </c>
      <c r="F63" s="91">
        <f>IF(B63="",0,SUMIF(D_Cle,B63,D_CR))</f>
        <v>0</v>
      </c>
      <c r="G63" s="91">
        <f>IF(B63="",0,SUMIF(D_Cle,B63,D_CW))</f>
        <v>0</v>
      </c>
      <c r="H63" s="91">
        <f>IF(B63="",0,SUMIF(D_Cle,B63,D_O))</f>
        <v>0</v>
      </c>
      <c r="I63" s="92">
        <f>IF(B63="",0,SUMIF(D_Cle,B63,D_Brut))</f>
        <v>0</v>
      </c>
      <c r="J63" s="90">
        <f>IF(B63="",0,SUMIF(D_Cle,B63,D_C2))</f>
        <v>0</v>
      </c>
      <c r="K63" s="92">
        <f>IF(AND(B63&lt;&gt;"",N(Calcul!L31)&gt;0),(Calcul!I31*(E63-F63-G63)+N(Calcul!J31)*F63+IF(Calcul!K31="",Calcul!I31,Calcul!K31)*G63+N(Calcul!L31)*H63)/1000000,0)</f>
        <v>0</v>
      </c>
      <c r="L63" s="92">
        <f>IF(AND(B63&lt;&gt;"",N(Calcul!L31)&gt;0),(Calcul!I31*(E63-F63)+N(Calcul!J31)*F63+IF(Calcul!K31="",Calcul!I31,Calcul!K31)*G63+N(Calcul!L31)*H63)/1000000,0)</f>
        <v>0</v>
      </c>
      <c r="M63" s="92">
        <f>IF(AND(B63&lt;&gt;"",N(Calcul!L31)&gt;0),(Calcul!I31*E63+N(Calcul!J31)*F63+IF(Calcul!K31="",Calcul!I31,Calcul!K31)*G63+N(Calcul!L31)*H63)/1000000,0)</f>
        <v>0</v>
      </c>
      <c r="N63" s="93" t="str">
        <f>IF(K63&gt;0,I63/K63,"")</f>
        <v/>
      </c>
      <c r="O63" s="93" t="str">
        <f>IF(L63&gt;0,I63/L63,"")</f>
        <v/>
      </c>
      <c r="P63" s="93" t="str">
        <f>IF(M63&gt;0,I63/M63,"")</f>
        <v/>
      </c>
      <c r="Q63" s="89" t="str">
        <f>IF(B63="","",Calcul!E31)</f>
        <v>Inclusive</v>
      </c>
      <c r="R63" s="92">
        <f>IF(AND(B63&lt;&gt;"",N(Calcul!L31)&gt;0),(Calcul!I31*(E63-Calcul!G31*F63-Calcul!H31*G63)+N(Calcul!J31)*F63+IF(Calcul!K31="",Calcul!I31,Calcul!K31)*G63+N(Calcul!L31)*H63)/1000000,0)</f>
        <v>0</v>
      </c>
      <c r="S63" s="93" t="str">
        <f>IF(R63&gt;0,I63/R63,"")</f>
        <v/>
      </c>
      <c r="T63" s="89" t="str">
        <f>IF(OR(B63="",D63=0),"",IF(S63="","Sans tarif",IF(AND(S63&gt;=0.895,S63&lt;=1.005),"✓ Cohérent","⚠ Hors plage")))</f>
        <v/>
      </c>
      <c r="U63" s="89" t="str">
        <f>IF(B63="","",IFERROR(INDEX(K_FamDec,MATCH(C63,K_FamNom,0)),""))</f>
        <v/>
      </c>
    </row>
    <row r="64">
      <c r="B64" s="89" t="str">
        <f>IF(Calcul!B32="","",Calcul!B32)</f>
        <v>GPT-5.6 Luna</v>
      </c>
      <c r="C64" s="89" t="str">
        <f>IF(B64="","",Calcul!C32)</f>
        <v>OpenAI ≥ GPT-5.6</v>
      </c>
      <c r="D64" s="90">
        <f>IF(B64="",0,COUNTIF(D_Cle,B64))</f>
        <v>0</v>
      </c>
      <c r="E64" s="91">
        <f>IF(B64="",0,SUMIF(D_Cle,B64,D_I))</f>
        <v>0</v>
      </c>
      <c r="F64" s="91">
        <f>IF(B64="",0,SUMIF(D_Cle,B64,D_CR))</f>
        <v>0</v>
      </c>
      <c r="G64" s="91">
        <f>IF(B64="",0,SUMIF(D_Cle,B64,D_CW))</f>
        <v>0</v>
      </c>
      <c r="H64" s="91">
        <f>IF(B64="",0,SUMIF(D_Cle,B64,D_O))</f>
        <v>0</v>
      </c>
      <c r="I64" s="92">
        <f>IF(B64="",0,SUMIF(D_Cle,B64,D_Brut))</f>
        <v>0</v>
      </c>
      <c r="J64" s="90">
        <f>IF(B64="",0,SUMIF(D_Cle,B64,D_C2))</f>
        <v>0</v>
      </c>
      <c r="K64" s="92">
        <f>IF(AND(B64&lt;&gt;"",N(Calcul!L32)&gt;0),(Calcul!I32*(E64-F64-G64)+N(Calcul!J32)*F64+IF(Calcul!K32="",Calcul!I32,Calcul!K32)*G64+N(Calcul!L32)*H64)/1000000,0)</f>
        <v>0</v>
      </c>
      <c r="L64" s="92">
        <f>IF(AND(B64&lt;&gt;"",N(Calcul!L32)&gt;0),(Calcul!I32*(E64-F64)+N(Calcul!J32)*F64+IF(Calcul!K32="",Calcul!I32,Calcul!K32)*G64+N(Calcul!L32)*H64)/1000000,0)</f>
        <v>0</v>
      </c>
      <c r="M64" s="92">
        <f>IF(AND(B64&lt;&gt;"",N(Calcul!L32)&gt;0),(Calcul!I32*E64+N(Calcul!J32)*F64+IF(Calcul!K32="",Calcul!I32,Calcul!K32)*G64+N(Calcul!L32)*H64)/1000000,0)</f>
        <v>0</v>
      </c>
      <c r="N64" s="93" t="str">
        <f>IF(K64&gt;0,I64/K64,"")</f>
        <v/>
      </c>
      <c r="O64" s="93" t="str">
        <f>IF(L64&gt;0,I64/L64,"")</f>
        <v/>
      </c>
      <c r="P64" s="93" t="str">
        <f>IF(M64&gt;0,I64/M64,"")</f>
        <v/>
      </c>
      <c r="Q64" s="89" t="str">
        <f>IF(B64="","",Calcul!E32)</f>
        <v>Inclusive</v>
      </c>
      <c r="R64" s="92">
        <f>IF(AND(B64&lt;&gt;"",N(Calcul!L32)&gt;0),(Calcul!I32*(E64-Calcul!G32*F64-Calcul!H32*G64)+N(Calcul!J32)*F64+IF(Calcul!K32="",Calcul!I32,Calcul!K32)*G64+N(Calcul!L32)*H64)/1000000,0)</f>
        <v>0</v>
      </c>
      <c r="S64" s="93" t="str">
        <f>IF(R64&gt;0,I64/R64,"")</f>
        <v/>
      </c>
      <c r="T64" s="89" t="str">
        <f>IF(OR(B64="",D64=0),"",IF(S64="","Sans tarif",IF(AND(S64&gt;=0.895,S64&lt;=1.005),"✓ Cohérent","⚠ Hors plage")))</f>
        <v/>
      </c>
      <c r="U64" s="89" t="str">
        <f>IF(B64="","",IFERROR(INDEX(K_FamDec,MATCH(C64,K_FamNom,0)),""))</f>
        <v/>
      </c>
    </row>
    <row r="65">
      <c r="B65" s="89" t="str">
        <f>IF(Calcul!B33="","",Calcul!B33)</f>
        <v>GPT-5.6 Terra</v>
      </c>
      <c r="C65" s="89" t="str">
        <f>IF(B65="","",Calcul!C33)</f>
        <v>OpenAI ≥ GPT-5.6</v>
      </c>
      <c r="D65" s="90">
        <f>IF(B65="",0,COUNTIF(D_Cle,B65))</f>
        <v>0</v>
      </c>
      <c r="E65" s="91">
        <f>IF(B65="",0,SUMIF(D_Cle,B65,D_I))</f>
        <v>0</v>
      </c>
      <c r="F65" s="91">
        <f>IF(B65="",0,SUMIF(D_Cle,B65,D_CR))</f>
        <v>0</v>
      </c>
      <c r="G65" s="91">
        <f>IF(B65="",0,SUMIF(D_Cle,B65,D_CW))</f>
        <v>0</v>
      </c>
      <c r="H65" s="91">
        <f>IF(B65="",0,SUMIF(D_Cle,B65,D_O))</f>
        <v>0</v>
      </c>
      <c r="I65" s="92">
        <f>IF(B65="",0,SUMIF(D_Cle,B65,D_Brut))</f>
        <v>0</v>
      </c>
      <c r="J65" s="90">
        <f>IF(B65="",0,SUMIF(D_Cle,B65,D_C2))</f>
        <v>0</v>
      </c>
      <c r="K65" s="92">
        <f>IF(AND(B65&lt;&gt;"",N(Calcul!L33)&gt;0),(Calcul!I33*(E65-F65-G65)+N(Calcul!J33)*F65+IF(Calcul!K33="",Calcul!I33,Calcul!K33)*G65+N(Calcul!L33)*H65)/1000000,0)</f>
        <v>0</v>
      </c>
      <c r="L65" s="92">
        <f>IF(AND(B65&lt;&gt;"",N(Calcul!L33)&gt;0),(Calcul!I33*(E65-F65)+N(Calcul!J33)*F65+IF(Calcul!K33="",Calcul!I33,Calcul!K33)*G65+N(Calcul!L33)*H65)/1000000,0)</f>
        <v>0</v>
      </c>
      <c r="M65" s="92">
        <f>IF(AND(B65&lt;&gt;"",N(Calcul!L33)&gt;0),(Calcul!I33*E65+N(Calcul!J33)*F65+IF(Calcul!K33="",Calcul!I33,Calcul!K33)*G65+N(Calcul!L33)*H65)/1000000,0)</f>
        <v>0</v>
      </c>
      <c r="N65" s="93" t="str">
        <f>IF(K65&gt;0,I65/K65,"")</f>
        <v/>
      </c>
      <c r="O65" s="93" t="str">
        <f>IF(L65&gt;0,I65/L65,"")</f>
        <v/>
      </c>
      <c r="P65" s="93" t="str">
        <f>IF(M65&gt;0,I65/M65,"")</f>
        <v/>
      </c>
      <c r="Q65" s="89" t="str">
        <f>IF(B65="","",Calcul!E33)</f>
        <v>Inclusive</v>
      </c>
      <c r="R65" s="92">
        <f>IF(AND(B65&lt;&gt;"",N(Calcul!L33)&gt;0),(Calcul!I33*(E65-Calcul!G33*F65-Calcul!H33*G65)+N(Calcul!J33)*F65+IF(Calcul!K33="",Calcul!I33,Calcul!K33)*G65+N(Calcul!L33)*H65)/1000000,0)</f>
        <v>0</v>
      </c>
      <c r="S65" s="93" t="str">
        <f>IF(R65&gt;0,I65/R65,"")</f>
        <v/>
      </c>
      <c r="T65" s="89" t="str">
        <f>IF(OR(B65="",D65=0),"",IF(S65="","Sans tarif",IF(AND(S65&gt;=0.895,S65&lt;=1.005),"✓ Cohérent","⚠ Hors plage")))</f>
        <v/>
      </c>
      <c r="U65" s="89" t="str">
        <f>IF(B65="","",IFERROR(INDEX(K_FamDec,MATCH(C65,K_FamNom,0)),""))</f>
        <v/>
      </c>
    </row>
    <row r="66">
      <c r="B66" s="89" t="str">
        <f>IF(Calcul!B34="","",Calcul!B34)</f>
        <v>GPT-5.6 Sol</v>
      </c>
      <c r="C66" s="89" t="str">
        <f>IF(B66="","",Calcul!C34)</f>
        <v>OpenAI ≥ GPT-5.6</v>
      </c>
      <c r="D66" s="90">
        <f>IF(B66="",0,COUNTIF(D_Cle,B66))</f>
        <v>0</v>
      </c>
      <c r="E66" s="91">
        <f>IF(B66="",0,SUMIF(D_Cle,B66,D_I))</f>
        <v>0</v>
      </c>
      <c r="F66" s="91">
        <f>IF(B66="",0,SUMIF(D_Cle,B66,D_CR))</f>
        <v>0</v>
      </c>
      <c r="G66" s="91">
        <f>IF(B66="",0,SUMIF(D_Cle,B66,D_CW))</f>
        <v>0</v>
      </c>
      <c r="H66" s="91">
        <f>IF(B66="",0,SUMIF(D_Cle,B66,D_O))</f>
        <v>0</v>
      </c>
      <c r="I66" s="92">
        <f>IF(B66="",0,SUMIF(D_Cle,B66,D_Brut))</f>
        <v>0</v>
      </c>
      <c r="J66" s="90">
        <f>IF(B66="",0,SUMIF(D_Cle,B66,D_C2))</f>
        <v>0</v>
      </c>
      <c r="K66" s="92">
        <f>IF(AND(B66&lt;&gt;"",N(Calcul!L34)&gt;0),(Calcul!I34*(E66-F66-G66)+N(Calcul!J34)*F66+IF(Calcul!K34="",Calcul!I34,Calcul!K34)*G66+N(Calcul!L34)*H66)/1000000,0)</f>
        <v>0</v>
      </c>
      <c r="L66" s="92">
        <f>IF(AND(B66&lt;&gt;"",N(Calcul!L34)&gt;0),(Calcul!I34*(E66-F66)+N(Calcul!J34)*F66+IF(Calcul!K34="",Calcul!I34,Calcul!K34)*G66+N(Calcul!L34)*H66)/1000000,0)</f>
        <v>0</v>
      </c>
      <c r="M66" s="92">
        <f>IF(AND(B66&lt;&gt;"",N(Calcul!L34)&gt;0),(Calcul!I34*E66+N(Calcul!J34)*F66+IF(Calcul!K34="",Calcul!I34,Calcul!K34)*G66+N(Calcul!L34)*H66)/1000000,0)</f>
        <v>0</v>
      </c>
      <c r="N66" s="93" t="str">
        <f>IF(K66&gt;0,I66/K66,"")</f>
        <v/>
      </c>
      <c r="O66" s="93" t="str">
        <f>IF(L66&gt;0,I66/L66,"")</f>
        <v/>
      </c>
      <c r="P66" s="93" t="str">
        <f>IF(M66&gt;0,I66/M66,"")</f>
        <v/>
      </c>
      <c r="Q66" s="89" t="str">
        <f>IF(B66="","",Calcul!E34)</f>
        <v>Inclusive</v>
      </c>
      <c r="R66" s="92">
        <f>IF(AND(B66&lt;&gt;"",N(Calcul!L34)&gt;0),(Calcul!I34*(E66-Calcul!G34*F66-Calcul!H34*G66)+N(Calcul!J34)*F66+IF(Calcul!K34="",Calcul!I34,Calcul!K34)*G66+N(Calcul!L34)*H66)/1000000,0)</f>
        <v>0</v>
      </c>
      <c r="S66" s="93" t="str">
        <f>IF(R66&gt;0,I66/R66,"")</f>
        <v/>
      </c>
      <c r="T66" s="89" t="str">
        <f>IF(OR(B66="",D66=0),"",IF(S66="","Sans tarif",IF(AND(S66&gt;=0.895,S66&lt;=1.005),"✓ Cohérent","⚠ Hors plage")))</f>
        <v/>
      </c>
      <c r="U66" s="89" t="str">
        <f>IF(B66="","",IFERROR(INDEX(K_FamDec,MATCH(C66,K_FamNom,0)),""))</f>
        <v/>
      </c>
    </row>
    <row r="67">
      <c r="B67" s="89" t="str">
        <f>IF(Calcul!B35="","",Calcul!B35)</f>
        <v>GPT-6 Luna</v>
      </c>
      <c r="C67" s="89" t="str">
        <f>IF(B67="","",Calcul!C35)</f>
        <v>OpenAI ≥ GPT-5.6</v>
      </c>
      <c r="D67" s="90">
        <f>IF(B67="",0,COUNTIF(D_Cle,B67))</f>
        <v>0</v>
      </c>
      <c r="E67" s="91">
        <f>IF(B67="",0,SUMIF(D_Cle,B67,D_I))</f>
        <v>0</v>
      </c>
      <c r="F67" s="91">
        <f>IF(B67="",0,SUMIF(D_Cle,B67,D_CR))</f>
        <v>0</v>
      </c>
      <c r="G67" s="91">
        <f>IF(B67="",0,SUMIF(D_Cle,B67,D_CW))</f>
        <v>0</v>
      </c>
      <c r="H67" s="91">
        <f>IF(B67="",0,SUMIF(D_Cle,B67,D_O))</f>
        <v>0</v>
      </c>
      <c r="I67" s="92">
        <f>IF(B67="",0,SUMIF(D_Cle,B67,D_Brut))</f>
        <v>0</v>
      </c>
      <c r="J67" s="90">
        <f>IF(B67="",0,SUMIF(D_Cle,B67,D_C2))</f>
        <v>0</v>
      </c>
      <c r="K67" s="92">
        <f>IF(AND(B67&lt;&gt;"",N(Calcul!L35)&gt;0),(Calcul!I35*(E67-F67-G67)+N(Calcul!J35)*F67+IF(Calcul!K35="",Calcul!I35,Calcul!K35)*G67+N(Calcul!L35)*H67)/1000000,0)</f>
        <v>0</v>
      </c>
      <c r="L67" s="92">
        <f>IF(AND(B67&lt;&gt;"",N(Calcul!L35)&gt;0),(Calcul!I35*(E67-F67)+N(Calcul!J35)*F67+IF(Calcul!K35="",Calcul!I35,Calcul!K35)*G67+N(Calcul!L35)*H67)/1000000,0)</f>
        <v>0</v>
      </c>
      <c r="M67" s="92">
        <f>IF(AND(B67&lt;&gt;"",N(Calcul!L35)&gt;0),(Calcul!I35*E67+N(Calcul!J35)*F67+IF(Calcul!K35="",Calcul!I35,Calcul!K35)*G67+N(Calcul!L35)*H67)/1000000,0)</f>
        <v>0</v>
      </c>
      <c r="N67" s="93" t="str">
        <f>IF(K67&gt;0,I67/K67,"")</f>
        <v/>
      </c>
      <c r="O67" s="93" t="str">
        <f>IF(L67&gt;0,I67/L67,"")</f>
        <v/>
      </c>
      <c r="P67" s="93" t="str">
        <f>IF(M67&gt;0,I67/M67,"")</f>
        <v/>
      </c>
      <c r="Q67" s="89" t="str">
        <f>IF(B67="","",Calcul!E35)</f>
        <v>Inclusive</v>
      </c>
      <c r="R67" s="92">
        <f>IF(AND(B67&lt;&gt;"",N(Calcul!L35)&gt;0),(Calcul!I35*(E67-Calcul!G35*F67-Calcul!H35*G67)+N(Calcul!J35)*F67+IF(Calcul!K35="",Calcul!I35,Calcul!K35)*G67+N(Calcul!L35)*H67)/1000000,0)</f>
        <v>0</v>
      </c>
      <c r="S67" s="93" t="str">
        <f>IF(R67&gt;0,I67/R67,"")</f>
        <v/>
      </c>
      <c r="T67" s="89" t="str">
        <f>IF(OR(B67="",D67=0),"",IF(S67="","Sans tarif",IF(AND(S67&gt;=0.895,S67&lt;=1.005),"✓ Cohérent","⚠ Hors plage")))</f>
        <v/>
      </c>
      <c r="U67" s="89" t="str">
        <f>IF(B67="","",IFERROR(INDEX(K_FamDec,MATCH(C67,K_FamNom,0)),""))</f>
        <v/>
      </c>
    </row>
    <row r="68">
      <c r="B68" s="89" t="str">
        <f>IF(Calcul!B36="","",Calcul!B36)</f>
        <v>GPT-6 Sol</v>
      </c>
      <c r="C68" s="89" t="str">
        <f>IF(B68="","",Calcul!C36)</f>
        <v>OpenAI ≥ GPT-5.6</v>
      </c>
      <c r="D68" s="90">
        <f>IF(B68="",0,COUNTIF(D_Cle,B68))</f>
        <v>0</v>
      </c>
      <c r="E68" s="91">
        <f>IF(B68="",0,SUMIF(D_Cle,B68,D_I))</f>
        <v>0</v>
      </c>
      <c r="F68" s="91">
        <f>IF(B68="",0,SUMIF(D_Cle,B68,D_CR))</f>
        <v>0</v>
      </c>
      <c r="G68" s="91">
        <f>IF(B68="",0,SUMIF(D_Cle,B68,D_CW))</f>
        <v>0</v>
      </c>
      <c r="H68" s="91">
        <f>IF(B68="",0,SUMIF(D_Cle,B68,D_O))</f>
        <v>0</v>
      </c>
      <c r="I68" s="92">
        <f>IF(B68="",0,SUMIF(D_Cle,B68,D_Brut))</f>
        <v>0</v>
      </c>
      <c r="J68" s="90">
        <f>IF(B68="",0,SUMIF(D_Cle,B68,D_C2))</f>
        <v>0</v>
      </c>
      <c r="K68" s="92">
        <f>IF(AND(B68&lt;&gt;"",N(Calcul!L36)&gt;0),(Calcul!I36*(E68-F68-G68)+N(Calcul!J36)*F68+IF(Calcul!K36="",Calcul!I36,Calcul!K36)*G68+N(Calcul!L36)*H68)/1000000,0)</f>
        <v>0</v>
      </c>
      <c r="L68" s="92">
        <f>IF(AND(B68&lt;&gt;"",N(Calcul!L36)&gt;0),(Calcul!I36*(E68-F68)+N(Calcul!J36)*F68+IF(Calcul!K36="",Calcul!I36,Calcul!K36)*G68+N(Calcul!L36)*H68)/1000000,0)</f>
        <v>0</v>
      </c>
      <c r="M68" s="92">
        <f>IF(AND(B68&lt;&gt;"",N(Calcul!L36)&gt;0),(Calcul!I36*E68+N(Calcul!J36)*F68+IF(Calcul!K36="",Calcul!I36,Calcul!K36)*G68+N(Calcul!L36)*H68)/1000000,0)</f>
        <v>0</v>
      </c>
      <c r="N68" s="93" t="str">
        <f>IF(K68&gt;0,I68/K68,"")</f>
        <v/>
      </c>
      <c r="O68" s="93" t="str">
        <f>IF(L68&gt;0,I68/L68,"")</f>
        <v/>
      </c>
      <c r="P68" s="93" t="str">
        <f>IF(M68&gt;0,I68/M68,"")</f>
        <v/>
      </c>
      <c r="Q68" s="89" t="str">
        <f>IF(B68="","",Calcul!E36)</f>
        <v>Inclusive</v>
      </c>
      <c r="R68" s="92">
        <f>IF(AND(B68&lt;&gt;"",N(Calcul!L36)&gt;0),(Calcul!I36*(E68-Calcul!G36*F68-Calcul!H36*G68)+N(Calcul!J36)*F68+IF(Calcul!K36="",Calcul!I36,Calcul!K36)*G68+N(Calcul!L36)*H68)/1000000,0)</f>
        <v>0</v>
      </c>
      <c r="S68" s="93" t="str">
        <f>IF(R68&gt;0,I68/R68,"")</f>
        <v/>
      </c>
      <c r="T68" s="89" t="str">
        <f>IF(OR(B68="",D68=0),"",IF(S68="","Sans tarif",IF(AND(S68&gt;=0.895,S68&lt;=1.005),"✓ Cohérent","⚠ Hors plage")))</f>
        <v/>
      </c>
      <c r="U68" s="89" t="str">
        <f>IF(B68="","",IFERROR(INDEX(K_FamDec,MATCH(C68,K_FamNom,0)),""))</f>
        <v/>
      </c>
    </row>
    <row r="69">
      <c r="B69" s="89" t="str">
        <f>IF(Calcul!B37="","",Calcul!B37)</f>
        <v>GPT-6 Astra</v>
      </c>
      <c r="C69" s="89" t="str">
        <f>IF(B69="","",Calcul!C37)</f>
        <v>OpenAI ≥ GPT-5.6</v>
      </c>
      <c r="D69" s="90">
        <f>IF(B69="",0,COUNTIF(D_Cle,B69))</f>
        <v>0</v>
      </c>
      <c r="E69" s="91">
        <f>IF(B69="",0,SUMIF(D_Cle,B69,D_I))</f>
        <v>0</v>
      </c>
      <c r="F69" s="91">
        <f>IF(B69="",0,SUMIF(D_Cle,B69,D_CR))</f>
        <v>0</v>
      </c>
      <c r="G69" s="91">
        <f>IF(B69="",0,SUMIF(D_Cle,B69,D_CW))</f>
        <v>0</v>
      </c>
      <c r="H69" s="91">
        <f>IF(B69="",0,SUMIF(D_Cle,B69,D_O))</f>
        <v>0</v>
      </c>
      <c r="I69" s="92">
        <f>IF(B69="",0,SUMIF(D_Cle,B69,D_Brut))</f>
        <v>0</v>
      </c>
      <c r="J69" s="90">
        <f>IF(B69="",0,SUMIF(D_Cle,B69,D_C2))</f>
        <v>0</v>
      </c>
      <c r="K69" s="92">
        <f>IF(AND(B69&lt;&gt;"",N(Calcul!L37)&gt;0),(Calcul!I37*(E69-F69-G69)+N(Calcul!J37)*F69+IF(Calcul!K37="",Calcul!I37,Calcul!K37)*G69+N(Calcul!L37)*H69)/1000000,0)</f>
        <v>0</v>
      </c>
      <c r="L69" s="92">
        <f>IF(AND(B69&lt;&gt;"",N(Calcul!L37)&gt;0),(Calcul!I37*(E69-F69)+N(Calcul!J37)*F69+IF(Calcul!K37="",Calcul!I37,Calcul!K37)*G69+N(Calcul!L37)*H69)/1000000,0)</f>
        <v>0</v>
      </c>
      <c r="M69" s="92">
        <f>IF(AND(B69&lt;&gt;"",N(Calcul!L37)&gt;0),(Calcul!I37*E69+N(Calcul!J37)*F69+IF(Calcul!K37="",Calcul!I37,Calcul!K37)*G69+N(Calcul!L37)*H69)/1000000,0)</f>
        <v>0</v>
      </c>
      <c r="N69" s="93" t="str">
        <f>IF(K69&gt;0,I69/K69,"")</f>
        <v/>
      </c>
      <c r="O69" s="93" t="str">
        <f>IF(L69&gt;0,I69/L69,"")</f>
        <v/>
      </c>
      <c r="P69" s="93" t="str">
        <f>IF(M69&gt;0,I69/M69,"")</f>
        <v/>
      </c>
      <c r="Q69" s="89" t="str">
        <f>IF(B69="","",Calcul!E37)</f>
        <v>Inclusive</v>
      </c>
      <c r="R69" s="92">
        <f>IF(AND(B69&lt;&gt;"",N(Calcul!L37)&gt;0),(Calcul!I37*(E69-Calcul!G37*F69-Calcul!H37*G69)+N(Calcul!J37)*F69+IF(Calcul!K37="",Calcul!I37,Calcul!K37)*G69+N(Calcul!L37)*H69)/1000000,0)</f>
        <v>0</v>
      </c>
      <c r="S69" s="93" t="str">
        <f>IF(R69&gt;0,I69/R69,"")</f>
        <v/>
      </c>
      <c r="T69" s="89" t="str">
        <f>IF(OR(B69="",D69=0),"",IF(S69="","Sans tarif",IF(AND(S69&gt;=0.895,S69&lt;=1.005),"✓ Cohérent","⚠ Hors plage")))</f>
        <v/>
      </c>
      <c r="U69" s="89" t="str">
        <f>IF(B69="","",IFERROR(INDEX(K_FamDec,MATCH(C69,K_FamNom,0)),""))</f>
        <v/>
      </c>
    </row>
    <row r="70">
      <c r="B70" s="89" t="str">
        <f>IF(Calcul!B38="","",Calcul!B38)</f>
        <v>GPT-6.1 Sol</v>
      </c>
      <c r="C70" s="89" t="str">
        <f>IF(B70="","",Calcul!C38)</f>
        <v>OpenAI ≥ GPT-5.6</v>
      </c>
      <c r="D70" s="90">
        <f>IF(B70="",0,COUNTIF(D_Cle,B70))</f>
        <v>0</v>
      </c>
      <c r="E70" s="91">
        <f>IF(B70="",0,SUMIF(D_Cle,B70,D_I))</f>
        <v>0</v>
      </c>
      <c r="F70" s="91">
        <f>IF(B70="",0,SUMIF(D_Cle,B70,D_CR))</f>
        <v>0</v>
      </c>
      <c r="G70" s="91">
        <f>IF(B70="",0,SUMIF(D_Cle,B70,D_CW))</f>
        <v>0</v>
      </c>
      <c r="H70" s="91">
        <f>IF(B70="",0,SUMIF(D_Cle,B70,D_O))</f>
        <v>0</v>
      </c>
      <c r="I70" s="92">
        <f>IF(B70="",0,SUMIF(D_Cle,B70,D_Brut))</f>
        <v>0</v>
      </c>
      <c r="J70" s="90">
        <f>IF(B70="",0,SUMIF(D_Cle,B70,D_C2))</f>
        <v>0</v>
      </c>
      <c r="K70" s="92">
        <f>IF(AND(B70&lt;&gt;"",N(Calcul!L38)&gt;0),(Calcul!I38*(E70-F70-G70)+N(Calcul!J38)*F70+IF(Calcul!K38="",Calcul!I38,Calcul!K38)*G70+N(Calcul!L38)*H70)/1000000,0)</f>
        <v>0</v>
      </c>
      <c r="L70" s="92">
        <f>IF(AND(B70&lt;&gt;"",N(Calcul!L38)&gt;0),(Calcul!I38*(E70-F70)+N(Calcul!J38)*F70+IF(Calcul!K38="",Calcul!I38,Calcul!K38)*G70+N(Calcul!L38)*H70)/1000000,0)</f>
        <v>0</v>
      </c>
      <c r="M70" s="92">
        <f>IF(AND(B70&lt;&gt;"",N(Calcul!L38)&gt;0),(Calcul!I38*E70+N(Calcul!J38)*F70+IF(Calcul!K38="",Calcul!I38,Calcul!K38)*G70+N(Calcul!L38)*H70)/1000000,0)</f>
        <v>0</v>
      </c>
      <c r="N70" s="93" t="str">
        <f>IF(K70&gt;0,I70/K70,"")</f>
        <v/>
      </c>
      <c r="O70" s="93" t="str">
        <f>IF(L70&gt;0,I70/L70,"")</f>
        <v/>
      </c>
      <c r="P70" s="93" t="str">
        <f>IF(M70&gt;0,I70/M70,"")</f>
        <v/>
      </c>
      <c r="Q70" s="89" t="str">
        <f>IF(B70="","",Calcul!E38)</f>
        <v>Inclusive</v>
      </c>
      <c r="R70" s="92">
        <f>IF(AND(B70&lt;&gt;"",N(Calcul!L38)&gt;0),(Calcul!I38*(E70-Calcul!G38*F70-Calcul!H38*G70)+N(Calcul!J38)*F70+IF(Calcul!K38="",Calcul!I38,Calcul!K38)*G70+N(Calcul!L38)*H70)/1000000,0)</f>
        <v>0</v>
      </c>
      <c r="S70" s="93" t="str">
        <f>IF(R70&gt;0,I70/R70,"")</f>
        <v/>
      </c>
      <c r="T70" s="89" t="str">
        <f>IF(OR(B70="",D70=0),"",IF(S70="","Sans tarif",IF(AND(S70&gt;=0.895,S70&lt;=1.005),"✓ Cohérent","⚠ Hors plage")))</f>
        <v/>
      </c>
      <c r="U70" s="89" t="str">
        <f>IF(B70="","",IFERROR(INDEX(K_FamDec,MATCH(C70,K_FamNom,0)),""))</f>
        <v/>
      </c>
    </row>
    <row r="71">
      <c r="B71" s="89" t="str">
        <f>IF(Calcul!B39="","",Calcul!B39)</f>
        <v>GPT-5 mini</v>
      </c>
      <c r="C71" s="89" t="str">
        <f>IF(B71="","",Calcul!C39)</f>
        <v>OpenAI &lt; GPT-5.6</v>
      </c>
      <c r="D71" s="90">
        <f>IF(B71="",0,COUNTIF(D_Cle,B71))</f>
        <v>0</v>
      </c>
      <c r="E71" s="91">
        <f>IF(B71="",0,SUMIF(D_Cle,B71,D_I))</f>
        <v>0</v>
      </c>
      <c r="F71" s="91">
        <f>IF(B71="",0,SUMIF(D_Cle,B71,D_CR))</f>
        <v>0</v>
      </c>
      <c r="G71" s="91">
        <f>IF(B71="",0,SUMIF(D_Cle,B71,D_CW))</f>
        <v>0</v>
      </c>
      <c r="H71" s="91">
        <f>IF(B71="",0,SUMIF(D_Cle,B71,D_O))</f>
        <v>0</v>
      </c>
      <c r="I71" s="92">
        <f>IF(B71="",0,SUMIF(D_Cle,B71,D_Brut))</f>
        <v>0</v>
      </c>
      <c r="J71" s="90">
        <f>IF(B71="",0,SUMIF(D_Cle,B71,D_C2))</f>
        <v>0</v>
      </c>
      <c r="K71" s="92">
        <f>IF(AND(B71&lt;&gt;"",N(Calcul!L39)&gt;0),(Calcul!I39*(E71-F71-G71)+N(Calcul!J39)*F71+IF(Calcul!K39="",Calcul!I39,Calcul!K39)*G71+N(Calcul!L39)*H71)/1000000,0)</f>
        <v>0</v>
      </c>
      <c r="L71" s="92">
        <f>IF(AND(B71&lt;&gt;"",N(Calcul!L39)&gt;0),(Calcul!I39*(E71-F71)+N(Calcul!J39)*F71+IF(Calcul!K39="",Calcul!I39,Calcul!K39)*G71+N(Calcul!L39)*H71)/1000000,0)</f>
        <v>0</v>
      </c>
      <c r="M71" s="92">
        <f>IF(AND(B71&lt;&gt;"",N(Calcul!L39)&gt;0),(Calcul!I39*E71+N(Calcul!J39)*F71+IF(Calcul!K39="",Calcul!I39,Calcul!K39)*G71+N(Calcul!L39)*H71)/1000000,0)</f>
        <v>0</v>
      </c>
      <c r="N71" s="93" t="str">
        <f>IF(K71&gt;0,I71/K71,"")</f>
        <v/>
      </c>
      <c r="O71" s="93" t="str">
        <f>IF(L71&gt;0,I71/L71,"")</f>
        <v/>
      </c>
      <c r="P71" s="93" t="str">
        <f>IF(M71&gt;0,I71/M71,"")</f>
        <v/>
      </c>
      <c r="Q71" s="89" t="str">
        <f>IF(B71="","",Calcul!E39)</f>
        <v>Inclusive</v>
      </c>
      <c r="R71" s="92">
        <f>IF(AND(B71&lt;&gt;"",N(Calcul!L39)&gt;0),(Calcul!I39*(E71-Calcul!G39*F71-Calcul!H39*G71)+N(Calcul!J39)*F71+IF(Calcul!K39="",Calcul!I39,Calcul!K39)*G71+N(Calcul!L39)*H71)/1000000,0)</f>
        <v>0</v>
      </c>
      <c r="S71" s="93" t="str">
        <f>IF(R71&gt;0,I71/R71,"")</f>
        <v/>
      </c>
      <c r="T71" s="89" t="str">
        <f>IF(OR(B71="",D71=0),"",IF(S71="","Sans tarif",IF(AND(S71&gt;=0.895,S71&lt;=1.005),"✓ Cohérent","⚠ Hors plage")))</f>
        <v/>
      </c>
      <c r="U71" s="89" t="str">
        <f>IF(B71="","",IFERROR(INDEX(K_FamDec,MATCH(C71,K_FamNom,0)),""))</f>
        <v/>
      </c>
    </row>
    <row r="72">
      <c r="B72" s="89" t="str">
        <f>IF(Calcul!B40="","",Calcul!B40)</f>
        <v>GPT-5.4 mini</v>
      </c>
      <c r="C72" s="89" t="str">
        <f>IF(B72="","",Calcul!C40)</f>
        <v>OpenAI &lt; GPT-5.6</v>
      </c>
      <c r="D72" s="90">
        <f>IF(B72="",0,COUNTIF(D_Cle,B72))</f>
        <v>0</v>
      </c>
      <c r="E72" s="91">
        <f>IF(B72="",0,SUMIF(D_Cle,B72,D_I))</f>
        <v>0</v>
      </c>
      <c r="F72" s="91">
        <f>IF(B72="",0,SUMIF(D_Cle,B72,D_CR))</f>
        <v>0</v>
      </c>
      <c r="G72" s="91">
        <f>IF(B72="",0,SUMIF(D_Cle,B72,D_CW))</f>
        <v>0</v>
      </c>
      <c r="H72" s="91">
        <f>IF(B72="",0,SUMIF(D_Cle,B72,D_O))</f>
        <v>0</v>
      </c>
      <c r="I72" s="92">
        <f>IF(B72="",0,SUMIF(D_Cle,B72,D_Brut))</f>
        <v>0</v>
      </c>
      <c r="J72" s="90">
        <f>IF(B72="",0,SUMIF(D_Cle,B72,D_C2))</f>
        <v>0</v>
      </c>
      <c r="K72" s="92">
        <f>IF(AND(B72&lt;&gt;"",N(Calcul!L40)&gt;0),(Calcul!I40*(E72-F72-G72)+N(Calcul!J40)*F72+IF(Calcul!K40="",Calcul!I40,Calcul!K40)*G72+N(Calcul!L40)*H72)/1000000,0)</f>
        <v>0</v>
      </c>
      <c r="L72" s="92">
        <f>IF(AND(B72&lt;&gt;"",N(Calcul!L40)&gt;0),(Calcul!I40*(E72-F72)+N(Calcul!J40)*F72+IF(Calcul!K40="",Calcul!I40,Calcul!K40)*G72+N(Calcul!L40)*H72)/1000000,0)</f>
        <v>0</v>
      </c>
      <c r="M72" s="92">
        <f>IF(AND(B72&lt;&gt;"",N(Calcul!L40)&gt;0),(Calcul!I40*E72+N(Calcul!J40)*F72+IF(Calcul!K40="",Calcul!I40,Calcul!K40)*G72+N(Calcul!L40)*H72)/1000000,0)</f>
        <v>0</v>
      </c>
      <c r="N72" s="93" t="str">
        <f>IF(K72&gt;0,I72/K72,"")</f>
        <v/>
      </c>
      <c r="O72" s="93" t="str">
        <f>IF(L72&gt;0,I72/L72,"")</f>
        <v/>
      </c>
      <c r="P72" s="93" t="str">
        <f>IF(M72&gt;0,I72/M72,"")</f>
        <v/>
      </c>
      <c r="Q72" s="89" t="str">
        <f>IF(B72="","",Calcul!E40)</f>
        <v>Inclusive</v>
      </c>
      <c r="R72" s="92">
        <f>IF(AND(B72&lt;&gt;"",N(Calcul!L40)&gt;0),(Calcul!I40*(E72-Calcul!G40*F72-Calcul!H40*G72)+N(Calcul!J40)*F72+IF(Calcul!K40="",Calcul!I40,Calcul!K40)*G72+N(Calcul!L40)*H72)/1000000,0)</f>
        <v>0</v>
      </c>
      <c r="S72" s="93" t="str">
        <f>IF(R72&gt;0,I72/R72,"")</f>
        <v/>
      </c>
      <c r="T72" s="89" t="str">
        <f>IF(OR(B72="",D72=0),"",IF(S72="","Sans tarif",IF(AND(S72&gt;=0.895,S72&lt;=1.005),"✓ Cohérent","⚠ Hors plage")))</f>
        <v/>
      </c>
      <c r="U72" s="89" t="str">
        <f>IF(B72="","",IFERROR(INDEX(K_FamDec,MATCH(C72,K_FamNom,0)),""))</f>
        <v/>
      </c>
    </row>
    <row r="73">
      <c r="B73" s="89" t="str">
        <f>IF(Calcul!B41="","",Calcul!B41)</f>
        <v>GPT-5.4</v>
      </c>
      <c r="C73" s="89" t="str">
        <f>IF(B73="","",Calcul!C41)</f>
        <v>OpenAI &lt; GPT-5.6</v>
      </c>
      <c r="D73" s="90">
        <f>IF(B73="",0,COUNTIF(D_Cle,B73))</f>
        <v>0</v>
      </c>
      <c r="E73" s="91">
        <f>IF(B73="",0,SUMIF(D_Cle,B73,D_I))</f>
        <v>0</v>
      </c>
      <c r="F73" s="91">
        <f>IF(B73="",0,SUMIF(D_Cle,B73,D_CR))</f>
        <v>0</v>
      </c>
      <c r="G73" s="91">
        <f>IF(B73="",0,SUMIF(D_Cle,B73,D_CW))</f>
        <v>0</v>
      </c>
      <c r="H73" s="91">
        <f>IF(B73="",0,SUMIF(D_Cle,B73,D_O))</f>
        <v>0</v>
      </c>
      <c r="I73" s="92">
        <f>IF(B73="",0,SUMIF(D_Cle,B73,D_Brut))</f>
        <v>0</v>
      </c>
      <c r="J73" s="90">
        <f>IF(B73="",0,SUMIF(D_Cle,B73,D_C2))</f>
        <v>0</v>
      </c>
      <c r="K73" s="92">
        <f>IF(AND(B73&lt;&gt;"",N(Calcul!L41)&gt;0),(Calcul!I41*(E73-F73-G73)+N(Calcul!J41)*F73+IF(Calcul!K41="",Calcul!I41,Calcul!K41)*G73+N(Calcul!L41)*H73)/1000000,0)</f>
        <v>0</v>
      </c>
      <c r="L73" s="92">
        <f>IF(AND(B73&lt;&gt;"",N(Calcul!L41)&gt;0),(Calcul!I41*(E73-F73)+N(Calcul!J41)*F73+IF(Calcul!K41="",Calcul!I41,Calcul!K41)*G73+N(Calcul!L41)*H73)/1000000,0)</f>
        <v>0</v>
      </c>
      <c r="M73" s="92">
        <f>IF(AND(B73&lt;&gt;"",N(Calcul!L41)&gt;0),(Calcul!I41*E73+N(Calcul!J41)*F73+IF(Calcul!K41="",Calcul!I41,Calcul!K41)*G73+N(Calcul!L41)*H73)/1000000,0)</f>
        <v>0</v>
      </c>
      <c r="N73" s="93" t="str">
        <f>IF(K73&gt;0,I73/K73,"")</f>
        <v/>
      </c>
      <c r="O73" s="93" t="str">
        <f>IF(L73&gt;0,I73/L73,"")</f>
        <v/>
      </c>
      <c r="P73" s="93" t="str">
        <f>IF(M73&gt;0,I73/M73,"")</f>
        <v/>
      </c>
      <c r="Q73" s="89" t="str">
        <f>IF(B73="","",Calcul!E41)</f>
        <v>Inclusive</v>
      </c>
      <c r="R73" s="92">
        <f>IF(AND(B73&lt;&gt;"",N(Calcul!L41)&gt;0),(Calcul!I41*(E73-Calcul!G41*F73-Calcul!H41*G73)+N(Calcul!J41)*F73+IF(Calcul!K41="",Calcul!I41,Calcul!K41)*G73+N(Calcul!L41)*H73)/1000000,0)</f>
        <v>0</v>
      </c>
      <c r="S73" s="93" t="str">
        <f>IF(R73&gt;0,I73/R73,"")</f>
        <v/>
      </c>
      <c r="T73" s="89" t="str">
        <f>IF(OR(B73="",D73=0),"",IF(S73="","Sans tarif",IF(AND(S73&gt;=0.895,S73&lt;=1.005),"✓ Cohérent","⚠ Hors plage")))</f>
        <v/>
      </c>
      <c r="U73" s="89" t="str">
        <f>IF(B73="","",IFERROR(INDEX(K_FamDec,MATCH(C73,K_FamNom,0)),""))</f>
        <v/>
      </c>
    </row>
    <row r="74">
      <c r="B74" s="89" t="str">
        <f>IF(Calcul!B42="","",Calcul!B42)</f>
        <v>GPT-5.5</v>
      </c>
      <c r="C74" s="89" t="str">
        <f>IF(B74="","",Calcul!C42)</f>
        <v>OpenAI &lt; GPT-5.6</v>
      </c>
      <c r="D74" s="90">
        <f>IF(B74="",0,COUNTIF(D_Cle,B74))</f>
        <v>0</v>
      </c>
      <c r="E74" s="91">
        <f>IF(B74="",0,SUMIF(D_Cle,B74,D_I))</f>
        <v>0</v>
      </c>
      <c r="F74" s="91">
        <f>IF(B74="",0,SUMIF(D_Cle,B74,D_CR))</f>
        <v>0</v>
      </c>
      <c r="G74" s="91">
        <f>IF(B74="",0,SUMIF(D_Cle,B74,D_CW))</f>
        <v>0</v>
      </c>
      <c r="H74" s="91">
        <f>IF(B74="",0,SUMIF(D_Cle,B74,D_O))</f>
        <v>0</v>
      </c>
      <c r="I74" s="92">
        <f>IF(B74="",0,SUMIF(D_Cle,B74,D_Brut))</f>
        <v>0</v>
      </c>
      <c r="J74" s="90">
        <f>IF(B74="",0,SUMIF(D_Cle,B74,D_C2))</f>
        <v>0</v>
      </c>
      <c r="K74" s="92">
        <f>IF(AND(B74&lt;&gt;"",N(Calcul!L42)&gt;0),(Calcul!I42*(E74-F74-G74)+N(Calcul!J42)*F74+IF(Calcul!K42="",Calcul!I42,Calcul!K42)*G74+N(Calcul!L42)*H74)/1000000,0)</f>
        <v>0</v>
      </c>
      <c r="L74" s="92">
        <f>IF(AND(B74&lt;&gt;"",N(Calcul!L42)&gt;0),(Calcul!I42*(E74-F74)+N(Calcul!J42)*F74+IF(Calcul!K42="",Calcul!I42,Calcul!K42)*G74+N(Calcul!L42)*H74)/1000000,0)</f>
        <v>0</v>
      </c>
      <c r="M74" s="92">
        <f>IF(AND(B74&lt;&gt;"",N(Calcul!L42)&gt;0),(Calcul!I42*E74+N(Calcul!J42)*F74+IF(Calcul!K42="",Calcul!I42,Calcul!K42)*G74+N(Calcul!L42)*H74)/1000000,0)</f>
        <v>0</v>
      </c>
      <c r="N74" s="93" t="str">
        <f>IF(K74&gt;0,I74/K74,"")</f>
        <v/>
      </c>
      <c r="O74" s="93" t="str">
        <f>IF(L74&gt;0,I74/L74,"")</f>
        <v/>
      </c>
      <c r="P74" s="93" t="str">
        <f>IF(M74&gt;0,I74/M74,"")</f>
        <v/>
      </c>
      <c r="Q74" s="89" t="str">
        <f>IF(B74="","",Calcul!E42)</f>
        <v>Inclusive</v>
      </c>
      <c r="R74" s="92">
        <f>IF(AND(B74&lt;&gt;"",N(Calcul!L42)&gt;0),(Calcul!I42*(E74-Calcul!G42*F74-Calcul!H42*G74)+N(Calcul!J42)*F74+IF(Calcul!K42="",Calcul!I42,Calcul!K42)*G74+N(Calcul!L42)*H74)/1000000,0)</f>
        <v>0</v>
      </c>
      <c r="S74" s="93" t="str">
        <f>IF(R74&gt;0,I74/R74,"")</f>
        <v/>
      </c>
      <c r="T74" s="89" t="str">
        <f>IF(OR(B74="",D74=0),"",IF(S74="","Sans tarif",IF(AND(S74&gt;=0.895,S74&lt;=1.005),"✓ Cohérent","⚠ Hors plage")))</f>
        <v/>
      </c>
      <c r="U74" s="89" t="str">
        <f>IF(B74="","",IFERROR(INDEX(K_FamDec,MATCH(C74,K_FamNom,0)),""))</f>
        <v/>
      </c>
    </row>
    <row r="75">
      <c r="B75" s="89" t="str">
        <f>IF(Calcul!B43="","",Calcul!B43)</f>
        <v>Claude Haiku 4.5</v>
      </c>
      <c r="C75" s="89" t="str">
        <f>IF(B75="","",Calcul!C43)</f>
        <v>Anthropic</v>
      </c>
      <c r="D75" s="90">
        <f>IF(B75="",0,COUNTIF(D_Cle,B75))</f>
        <v>0</v>
      </c>
      <c r="E75" s="91">
        <f>IF(B75="",0,SUMIF(D_Cle,B75,D_I))</f>
        <v>0</v>
      </c>
      <c r="F75" s="91">
        <f>IF(B75="",0,SUMIF(D_Cle,B75,D_CR))</f>
        <v>0</v>
      </c>
      <c r="G75" s="91">
        <f>IF(B75="",0,SUMIF(D_Cle,B75,D_CW))</f>
        <v>0</v>
      </c>
      <c r="H75" s="91">
        <f>IF(B75="",0,SUMIF(D_Cle,B75,D_O))</f>
        <v>0</v>
      </c>
      <c r="I75" s="92">
        <f>IF(B75="",0,SUMIF(D_Cle,B75,D_Brut))</f>
        <v>0</v>
      </c>
      <c r="J75" s="90">
        <f>IF(B75="",0,SUMIF(D_Cle,B75,D_C2))</f>
        <v>0</v>
      </c>
      <c r="K75" s="92">
        <f>IF(AND(B75&lt;&gt;"",N(Calcul!L43)&gt;0),(Calcul!I43*(E75-F75-G75)+N(Calcul!J43)*F75+IF(Calcul!K43="",Calcul!I43,Calcul!K43)*G75+N(Calcul!L43)*H75)/1000000,0)</f>
        <v>0</v>
      </c>
      <c r="L75" s="92">
        <f>IF(AND(B75&lt;&gt;"",N(Calcul!L43)&gt;0),(Calcul!I43*(E75-F75)+N(Calcul!J43)*F75+IF(Calcul!K43="",Calcul!I43,Calcul!K43)*G75+N(Calcul!L43)*H75)/1000000,0)</f>
        <v>0</v>
      </c>
      <c r="M75" s="92">
        <f>IF(AND(B75&lt;&gt;"",N(Calcul!L43)&gt;0),(Calcul!I43*E75+N(Calcul!J43)*F75+IF(Calcul!K43="",Calcul!I43,Calcul!K43)*G75+N(Calcul!L43)*H75)/1000000,0)</f>
        <v>0</v>
      </c>
      <c r="N75" s="93" t="str">
        <f>IF(K75&gt;0,I75/K75,"")</f>
        <v/>
      </c>
      <c r="O75" s="93" t="str">
        <f>IF(L75&gt;0,I75/L75,"")</f>
        <v/>
      </c>
      <c r="P75" s="93" t="str">
        <f>IF(M75&gt;0,I75/M75,"")</f>
        <v/>
      </c>
      <c r="Q75" s="89" t="str">
        <f>IF(B75="","",Calcul!E43)</f>
        <v>Exclusive</v>
      </c>
      <c r="R75" s="92">
        <f>IF(AND(B75&lt;&gt;"",N(Calcul!L43)&gt;0),(Calcul!I43*(E75-Calcul!G43*F75-Calcul!H43*G75)+N(Calcul!J43)*F75+IF(Calcul!K43="",Calcul!I43,Calcul!K43)*G75+N(Calcul!L43)*H75)/1000000,0)</f>
        <v>0</v>
      </c>
      <c r="S75" s="93" t="str">
        <f>IF(R75&gt;0,I75/R75,"")</f>
        <v/>
      </c>
      <c r="T75" s="89" t="str">
        <f>IF(OR(B75="",D75=0),"",IF(S75="","Sans tarif",IF(AND(S75&gt;=0.895,S75&lt;=1.005),"✓ Cohérent","⚠ Hors plage")))</f>
        <v/>
      </c>
      <c r="U75" s="89" t="str">
        <f>IF(B75="","",IFERROR(INDEX(K_FamDec,MATCH(C75,K_FamNom,0)),""))</f>
        <v/>
      </c>
    </row>
    <row r="76">
      <c r="B76" s="89" t="str">
        <f>IF(Calcul!B44="","",Calcul!B44)</f>
        <v>Claude Haiku 5.5</v>
      </c>
      <c r="C76" s="89" t="str">
        <f>IF(B76="","",Calcul!C44)</f>
        <v>Anthropic</v>
      </c>
      <c r="D76" s="90">
        <f>IF(B76="",0,COUNTIF(D_Cle,B76))</f>
        <v>0</v>
      </c>
      <c r="E76" s="91">
        <f>IF(B76="",0,SUMIF(D_Cle,B76,D_I))</f>
        <v>0</v>
      </c>
      <c r="F76" s="91">
        <f>IF(B76="",0,SUMIF(D_Cle,B76,D_CR))</f>
        <v>0</v>
      </c>
      <c r="G76" s="91">
        <f>IF(B76="",0,SUMIF(D_Cle,B76,D_CW))</f>
        <v>0</v>
      </c>
      <c r="H76" s="91">
        <f>IF(B76="",0,SUMIF(D_Cle,B76,D_O))</f>
        <v>0</v>
      </c>
      <c r="I76" s="92">
        <f>IF(B76="",0,SUMIF(D_Cle,B76,D_Brut))</f>
        <v>0</v>
      </c>
      <c r="J76" s="90">
        <f>IF(B76="",0,SUMIF(D_Cle,B76,D_C2))</f>
        <v>0</v>
      </c>
      <c r="K76" s="92">
        <f>IF(AND(B76&lt;&gt;"",N(Calcul!L44)&gt;0),(Calcul!I44*(E76-F76-G76)+N(Calcul!J44)*F76+IF(Calcul!K44="",Calcul!I44,Calcul!K44)*G76+N(Calcul!L44)*H76)/1000000,0)</f>
        <v>0</v>
      </c>
      <c r="L76" s="92">
        <f>IF(AND(B76&lt;&gt;"",N(Calcul!L44)&gt;0),(Calcul!I44*(E76-F76)+N(Calcul!J44)*F76+IF(Calcul!K44="",Calcul!I44,Calcul!K44)*G76+N(Calcul!L44)*H76)/1000000,0)</f>
        <v>0</v>
      </c>
      <c r="M76" s="92">
        <f>IF(AND(B76&lt;&gt;"",N(Calcul!L44)&gt;0),(Calcul!I44*E76+N(Calcul!J44)*F76+IF(Calcul!K44="",Calcul!I44,Calcul!K44)*G76+N(Calcul!L44)*H76)/1000000,0)</f>
        <v>0</v>
      </c>
      <c r="N76" s="93" t="str">
        <f>IF(K76&gt;0,I76/K76,"")</f>
        <v/>
      </c>
      <c r="O76" s="93" t="str">
        <f>IF(L76&gt;0,I76/L76,"")</f>
        <v/>
      </c>
      <c r="P76" s="93" t="str">
        <f>IF(M76&gt;0,I76/M76,"")</f>
        <v/>
      </c>
      <c r="Q76" s="89" t="str">
        <f>IF(B76="","",Calcul!E44)</f>
        <v>Exclusive</v>
      </c>
      <c r="R76" s="92">
        <f>IF(AND(B76&lt;&gt;"",N(Calcul!L44)&gt;0),(Calcul!I44*(E76-Calcul!G44*F76-Calcul!H44*G76)+N(Calcul!J44)*F76+IF(Calcul!K44="",Calcul!I44,Calcul!K44)*G76+N(Calcul!L44)*H76)/1000000,0)</f>
        <v>0</v>
      </c>
      <c r="S76" s="93" t="str">
        <f>IF(R76&gt;0,I76/R76,"")</f>
        <v/>
      </c>
      <c r="T76" s="89" t="str">
        <f>IF(OR(B76="",D76=0),"",IF(S76="","Sans tarif",IF(AND(S76&gt;=0.895,S76&lt;=1.005),"✓ Cohérent","⚠ Hors plage")))</f>
        <v/>
      </c>
      <c r="U76" s="89" t="str">
        <f>IF(B76="","",IFERROR(INDEX(K_FamDec,MATCH(C76,K_FamNom,0)),""))</f>
        <v/>
      </c>
    </row>
    <row r="77">
      <c r="B77" s="89" t="str">
        <f>IF(Calcul!B45="","",Calcul!B45)</f>
        <v>Claude Sonnet 4</v>
      </c>
      <c r="C77" s="89" t="str">
        <f>IF(B77="","",Calcul!C45)</f>
        <v>Anthropic</v>
      </c>
      <c r="D77" s="90">
        <f>IF(B77="",0,COUNTIF(D_Cle,B77))</f>
        <v>0</v>
      </c>
      <c r="E77" s="91">
        <f>IF(B77="",0,SUMIF(D_Cle,B77,D_I))</f>
        <v>0</v>
      </c>
      <c r="F77" s="91">
        <f>IF(B77="",0,SUMIF(D_Cle,B77,D_CR))</f>
        <v>0</v>
      </c>
      <c r="G77" s="91">
        <f>IF(B77="",0,SUMIF(D_Cle,B77,D_CW))</f>
        <v>0</v>
      </c>
      <c r="H77" s="91">
        <f>IF(B77="",0,SUMIF(D_Cle,B77,D_O))</f>
        <v>0</v>
      </c>
      <c r="I77" s="92">
        <f>IF(B77="",0,SUMIF(D_Cle,B77,D_Brut))</f>
        <v>0</v>
      </c>
      <c r="J77" s="90">
        <f>IF(B77="",0,SUMIF(D_Cle,B77,D_C2))</f>
        <v>0</v>
      </c>
      <c r="K77" s="92">
        <f>IF(AND(B77&lt;&gt;"",N(Calcul!L45)&gt;0),(Calcul!I45*(E77-F77-G77)+N(Calcul!J45)*F77+IF(Calcul!K45="",Calcul!I45,Calcul!K45)*G77+N(Calcul!L45)*H77)/1000000,0)</f>
        <v>0</v>
      </c>
      <c r="L77" s="92">
        <f>IF(AND(B77&lt;&gt;"",N(Calcul!L45)&gt;0),(Calcul!I45*(E77-F77)+N(Calcul!J45)*F77+IF(Calcul!K45="",Calcul!I45,Calcul!K45)*G77+N(Calcul!L45)*H77)/1000000,0)</f>
        <v>0</v>
      </c>
      <c r="M77" s="92">
        <f>IF(AND(B77&lt;&gt;"",N(Calcul!L45)&gt;0),(Calcul!I45*E77+N(Calcul!J45)*F77+IF(Calcul!K45="",Calcul!I45,Calcul!K45)*G77+N(Calcul!L45)*H77)/1000000,0)</f>
        <v>0</v>
      </c>
      <c r="N77" s="93" t="str">
        <f>IF(K77&gt;0,I77/K77,"")</f>
        <v/>
      </c>
      <c r="O77" s="93" t="str">
        <f>IF(L77&gt;0,I77/L77,"")</f>
        <v/>
      </c>
      <c r="P77" s="93" t="str">
        <f>IF(M77&gt;0,I77/M77,"")</f>
        <v/>
      </c>
      <c r="Q77" s="89" t="str">
        <f>IF(B77="","",Calcul!E45)</f>
        <v>Exclusive</v>
      </c>
      <c r="R77" s="92">
        <f>IF(AND(B77&lt;&gt;"",N(Calcul!L45)&gt;0),(Calcul!I45*(E77-Calcul!G45*F77-Calcul!H45*G77)+N(Calcul!J45)*F77+IF(Calcul!K45="",Calcul!I45,Calcul!K45)*G77+N(Calcul!L45)*H77)/1000000,0)</f>
        <v>0</v>
      </c>
      <c r="S77" s="93" t="str">
        <f>IF(R77&gt;0,I77/R77,"")</f>
        <v/>
      </c>
      <c r="T77" s="89" t="str">
        <f>IF(OR(B77="",D77=0),"",IF(S77="","Sans tarif",IF(AND(S77&gt;=0.895,S77&lt;=1.005),"✓ Cohérent","⚠ Hors plage")))</f>
        <v/>
      </c>
      <c r="U77" s="89" t="str">
        <f>IF(B77="","",IFERROR(INDEX(K_FamDec,MATCH(C77,K_FamNom,0)),""))</f>
        <v/>
      </c>
    </row>
    <row r="78">
      <c r="B78" s="89" t="str">
        <f>IF(Calcul!B46="","",Calcul!B46)</f>
        <v>Claude Sonnet 4.6</v>
      </c>
      <c r="C78" s="89" t="str">
        <f>IF(B78="","",Calcul!C46)</f>
        <v>Anthropic</v>
      </c>
      <c r="D78" s="90">
        <f>IF(B78="",0,COUNTIF(D_Cle,B78))</f>
        <v>0</v>
      </c>
      <c r="E78" s="91">
        <f>IF(B78="",0,SUMIF(D_Cle,B78,D_I))</f>
        <v>0</v>
      </c>
      <c r="F78" s="91">
        <f>IF(B78="",0,SUMIF(D_Cle,B78,D_CR))</f>
        <v>0</v>
      </c>
      <c r="G78" s="91">
        <f>IF(B78="",0,SUMIF(D_Cle,B78,D_CW))</f>
        <v>0</v>
      </c>
      <c r="H78" s="91">
        <f>IF(B78="",0,SUMIF(D_Cle,B78,D_O))</f>
        <v>0</v>
      </c>
      <c r="I78" s="92">
        <f>IF(B78="",0,SUMIF(D_Cle,B78,D_Brut))</f>
        <v>0</v>
      </c>
      <c r="J78" s="90">
        <f>IF(B78="",0,SUMIF(D_Cle,B78,D_C2))</f>
        <v>0</v>
      </c>
      <c r="K78" s="92">
        <f>IF(AND(B78&lt;&gt;"",N(Calcul!L46)&gt;0),(Calcul!I46*(E78-F78-G78)+N(Calcul!J46)*F78+IF(Calcul!K46="",Calcul!I46,Calcul!K46)*G78+N(Calcul!L46)*H78)/1000000,0)</f>
        <v>0</v>
      </c>
      <c r="L78" s="92">
        <f>IF(AND(B78&lt;&gt;"",N(Calcul!L46)&gt;0),(Calcul!I46*(E78-F78)+N(Calcul!J46)*F78+IF(Calcul!K46="",Calcul!I46,Calcul!K46)*G78+N(Calcul!L46)*H78)/1000000,0)</f>
        <v>0</v>
      </c>
      <c r="M78" s="92">
        <f>IF(AND(B78&lt;&gt;"",N(Calcul!L46)&gt;0),(Calcul!I46*E78+N(Calcul!J46)*F78+IF(Calcul!K46="",Calcul!I46,Calcul!K46)*G78+N(Calcul!L46)*H78)/1000000,0)</f>
        <v>0</v>
      </c>
      <c r="N78" s="93" t="str">
        <f>IF(K78&gt;0,I78/K78,"")</f>
        <v/>
      </c>
      <c r="O78" s="93" t="str">
        <f>IF(L78&gt;0,I78/L78,"")</f>
        <v/>
      </c>
      <c r="P78" s="93" t="str">
        <f>IF(M78&gt;0,I78/M78,"")</f>
        <v/>
      </c>
      <c r="Q78" s="89" t="str">
        <f>IF(B78="","",Calcul!E46)</f>
        <v>Exclusive</v>
      </c>
      <c r="R78" s="92">
        <f>IF(AND(B78&lt;&gt;"",N(Calcul!L46)&gt;0),(Calcul!I46*(E78-Calcul!G46*F78-Calcul!H46*G78)+N(Calcul!J46)*F78+IF(Calcul!K46="",Calcul!I46,Calcul!K46)*G78+N(Calcul!L46)*H78)/1000000,0)</f>
        <v>0</v>
      </c>
      <c r="S78" s="93" t="str">
        <f>IF(R78&gt;0,I78/R78,"")</f>
        <v/>
      </c>
      <c r="T78" s="89" t="str">
        <f>IF(OR(B78="",D78=0),"",IF(S78="","Sans tarif",IF(AND(S78&gt;=0.895,S78&lt;=1.005),"✓ Cohérent","⚠ Hors plage")))</f>
        <v/>
      </c>
      <c r="U78" s="89" t="str">
        <f>IF(B78="","",IFERROR(INDEX(K_FamDec,MATCH(C78,K_FamNom,0)),""))</f>
        <v/>
      </c>
    </row>
    <row r="79">
      <c r="B79" s="89" t="str">
        <f>IF(Calcul!B47="","",Calcul!B47)</f>
        <v>Claude Sonnet 5</v>
      </c>
      <c r="C79" s="89" t="str">
        <f>IF(B79="","",Calcul!C47)</f>
        <v>Anthropic</v>
      </c>
      <c r="D79" s="90">
        <f>IF(B79="",0,COUNTIF(D_Cle,B79))</f>
        <v>0</v>
      </c>
      <c r="E79" s="91">
        <f>IF(B79="",0,SUMIF(D_Cle,B79,D_I))</f>
        <v>0</v>
      </c>
      <c r="F79" s="91">
        <f>IF(B79="",0,SUMIF(D_Cle,B79,D_CR))</f>
        <v>0</v>
      </c>
      <c r="G79" s="91">
        <f>IF(B79="",0,SUMIF(D_Cle,B79,D_CW))</f>
        <v>0</v>
      </c>
      <c r="H79" s="91">
        <f>IF(B79="",0,SUMIF(D_Cle,B79,D_O))</f>
        <v>0</v>
      </c>
      <c r="I79" s="92">
        <f>IF(B79="",0,SUMIF(D_Cle,B79,D_Brut))</f>
        <v>0</v>
      </c>
      <c r="J79" s="90">
        <f>IF(B79="",0,SUMIF(D_Cle,B79,D_C2))</f>
        <v>0</v>
      </c>
      <c r="K79" s="92">
        <f>IF(AND(B79&lt;&gt;"",N(Calcul!L47)&gt;0),(Calcul!I47*(E79-F79-G79)+N(Calcul!J47)*F79+IF(Calcul!K47="",Calcul!I47,Calcul!K47)*G79+N(Calcul!L47)*H79)/1000000,0)</f>
        <v>0</v>
      </c>
      <c r="L79" s="92">
        <f>IF(AND(B79&lt;&gt;"",N(Calcul!L47)&gt;0),(Calcul!I47*(E79-F79)+N(Calcul!J47)*F79+IF(Calcul!K47="",Calcul!I47,Calcul!K47)*G79+N(Calcul!L47)*H79)/1000000,0)</f>
        <v>0</v>
      </c>
      <c r="M79" s="92">
        <f>IF(AND(B79&lt;&gt;"",N(Calcul!L47)&gt;0),(Calcul!I47*E79+N(Calcul!J47)*F79+IF(Calcul!K47="",Calcul!I47,Calcul!K47)*G79+N(Calcul!L47)*H79)/1000000,0)</f>
        <v>0</v>
      </c>
      <c r="N79" s="93" t="str">
        <f>IF(K79&gt;0,I79/K79,"")</f>
        <v/>
      </c>
      <c r="O79" s="93" t="str">
        <f>IF(L79&gt;0,I79/L79,"")</f>
        <v/>
      </c>
      <c r="P79" s="93" t="str">
        <f>IF(M79&gt;0,I79/M79,"")</f>
        <v/>
      </c>
      <c r="Q79" s="89" t="str">
        <f>IF(B79="","",Calcul!E47)</f>
        <v>Exclusive</v>
      </c>
      <c r="R79" s="92">
        <f>IF(AND(B79&lt;&gt;"",N(Calcul!L47)&gt;0),(Calcul!I47*(E79-Calcul!G47*F79-Calcul!H47*G79)+N(Calcul!J47)*F79+IF(Calcul!K47="",Calcul!I47,Calcul!K47)*G79+N(Calcul!L47)*H79)/1000000,0)</f>
        <v>0</v>
      </c>
      <c r="S79" s="93" t="str">
        <f>IF(R79&gt;0,I79/R79,"")</f>
        <v/>
      </c>
      <c r="T79" s="89" t="str">
        <f>IF(OR(B79="",D79=0),"",IF(S79="","Sans tarif",IF(AND(S79&gt;=0.895,S79&lt;=1.005),"✓ Cohérent","⚠ Hors plage")))</f>
        <v/>
      </c>
      <c r="U79" s="89" t="str">
        <f>IF(B79="","",IFERROR(INDEX(K_FamDec,MATCH(C79,K_FamNom,0)),""))</f>
        <v/>
      </c>
    </row>
    <row r="80">
      <c r="B80" s="89" t="str">
        <f>IF(Calcul!B48="","",Calcul!B48)</f>
        <v>Claude Sonnet 5.5</v>
      </c>
      <c r="C80" s="89" t="str">
        <f>IF(B80="","",Calcul!C48)</f>
        <v>Anthropic</v>
      </c>
      <c r="D80" s="90">
        <f>IF(B80="",0,COUNTIF(D_Cle,B80))</f>
        <v>0</v>
      </c>
      <c r="E80" s="91">
        <f>IF(B80="",0,SUMIF(D_Cle,B80,D_I))</f>
        <v>0</v>
      </c>
      <c r="F80" s="91">
        <f>IF(B80="",0,SUMIF(D_Cle,B80,D_CR))</f>
        <v>0</v>
      </c>
      <c r="G80" s="91">
        <f>IF(B80="",0,SUMIF(D_Cle,B80,D_CW))</f>
        <v>0</v>
      </c>
      <c r="H80" s="91">
        <f>IF(B80="",0,SUMIF(D_Cle,B80,D_O))</f>
        <v>0</v>
      </c>
      <c r="I80" s="92">
        <f>IF(B80="",0,SUMIF(D_Cle,B80,D_Brut))</f>
        <v>0</v>
      </c>
      <c r="J80" s="90">
        <f>IF(B80="",0,SUMIF(D_Cle,B80,D_C2))</f>
        <v>0</v>
      </c>
      <c r="K80" s="92">
        <f>IF(AND(B80&lt;&gt;"",N(Calcul!L48)&gt;0),(Calcul!I48*(E80-F80-G80)+N(Calcul!J48)*F80+IF(Calcul!K48="",Calcul!I48,Calcul!K48)*G80+N(Calcul!L48)*H80)/1000000,0)</f>
        <v>0</v>
      </c>
      <c r="L80" s="92">
        <f>IF(AND(B80&lt;&gt;"",N(Calcul!L48)&gt;0),(Calcul!I48*(E80-F80)+N(Calcul!J48)*F80+IF(Calcul!K48="",Calcul!I48,Calcul!K48)*G80+N(Calcul!L48)*H80)/1000000,0)</f>
        <v>0</v>
      </c>
      <c r="M80" s="92">
        <f>IF(AND(B80&lt;&gt;"",N(Calcul!L48)&gt;0),(Calcul!I48*E80+N(Calcul!J48)*F80+IF(Calcul!K48="",Calcul!I48,Calcul!K48)*G80+N(Calcul!L48)*H80)/1000000,0)</f>
        <v>0</v>
      </c>
      <c r="N80" s="93" t="str">
        <f>IF(K80&gt;0,I80/K80,"")</f>
        <v/>
      </c>
      <c r="O80" s="93" t="str">
        <f>IF(L80&gt;0,I80/L80,"")</f>
        <v/>
      </c>
      <c r="P80" s="93" t="str">
        <f>IF(M80&gt;0,I80/M80,"")</f>
        <v/>
      </c>
      <c r="Q80" s="89" t="str">
        <f>IF(B80="","",Calcul!E48)</f>
        <v>Exclusive</v>
      </c>
      <c r="R80" s="92">
        <f>IF(AND(B80&lt;&gt;"",N(Calcul!L48)&gt;0),(Calcul!I48*(E80-Calcul!G48*F80-Calcul!H48*G80)+N(Calcul!J48)*F80+IF(Calcul!K48="",Calcul!I48,Calcul!K48)*G80+N(Calcul!L48)*H80)/1000000,0)</f>
        <v>0</v>
      </c>
      <c r="S80" s="93" t="str">
        <f>IF(R80&gt;0,I80/R80,"")</f>
        <v/>
      </c>
      <c r="T80" s="89" t="str">
        <f>IF(OR(B80="",D80=0),"",IF(S80="","Sans tarif",IF(AND(S80&gt;=0.895,S80&lt;=1.005),"✓ Cohérent","⚠ Hors plage")))</f>
        <v/>
      </c>
      <c r="U80" s="89" t="str">
        <f>IF(B80="","",IFERROR(INDEX(K_FamDec,MATCH(C80,K_FamNom,0)),""))</f>
        <v/>
      </c>
    </row>
    <row r="81">
      <c r="B81" s="89" t="str">
        <f>IF(Calcul!B49="","",Calcul!B49)</f>
        <v>Claude Sonnet 5.5 [ancien tarif]</v>
      </c>
      <c r="C81" s="89" t="str">
        <f>IF(B81="","",Calcul!C49)</f>
        <v>Anthropic</v>
      </c>
      <c r="D81" s="90">
        <f>IF(B81="",0,COUNTIF(D_Cle,B81))</f>
        <v>0</v>
      </c>
      <c r="E81" s="91">
        <f>IF(B81="",0,SUMIF(D_Cle,B81,D_I))</f>
        <v>0</v>
      </c>
      <c r="F81" s="91">
        <f>IF(B81="",0,SUMIF(D_Cle,B81,D_CR))</f>
        <v>0</v>
      </c>
      <c r="G81" s="91">
        <f>IF(B81="",0,SUMIF(D_Cle,B81,D_CW))</f>
        <v>0</v>
      </c>
      <c r="H81" s="91">
        <f>IF(B81="",0,SUMIF(D_Cle,B81,D_O))</f>
        <v>0</v>
      </c>
      <c r="I81" s="92">
        <f>IF(B81="",0,SUMIF(D_Cle,B81,D_Brut))</f>
        <v>0</v>
      </c>
      <c r="J81" s="90">
        <f>IF(B81="",0,SUMIF(D_Cle,B81,D_C2))</f>
        <v>0</v>
      </c>
      <c r="K81" s="92">
        <f>IF(AND(B81&lt;&gt;"",N(Calcul!L49)&gt;0),(Calcul!I49*(E81-F81-G81)+N(Calcul!J49)*F81+IF(Calcul!K49="",Calcul!I49,Calcul!K49)*G81+N(Calcul!L49)*H81)/1000000,0)</f>
        <v>0</v>
      </c>
      <c r="L81" s="92">
        <f>IF(AND(B81&lt;&gt;"",N(Calcul!L49)&gt;0),(Calcul!I49*(E81-F81)+N(Calcul!J49)*F81+IF(Calcul!K49="",Calcul!I49,Calcul!K49)*G81+N(Calcul!L49)*H81)/1000000,0)</f>
        <v>0</v>
      </c>
      <c r="M81" s="92">
        <f>IF(AND(B81&lt;&gt;"",N(Calcul!L49)&gt;0),(Calcul!I49*E81+N(Calcul!J49)*F81+IF(Calcul!K49="",Calcul!I49,Calcul!K49)*G81+N(Calcul!L49)*H81)/1000000,0)</f>
        <v>0</v>
      </c>
      <c r="N81" s="93" t="str">
        <f>IF(K81&gt;0,I81/K81,"")</f>
        <v/>
      </c>
      <c r="O81" s="93" t="str">
        <f>IF(L81&gt;0,I81/L81,"")</f>
        <v/>
      </c>
      <c r="P81" s="93" t="str">
        <f>IF(M81&gt;0,I81/M81,"")</f>
        <v/>
      </c>
      <c r="Q81" s="89" t="str">
        <f>IF(B81="","",Calcul!E49)</f>
        <v>Exclusive</v>
      </c>
      <c r="R81" s="92">
        <f>IF(AND(B81&lt;&gt;"",N(Calcul!L49)&gt;0),(Calcul!I49*(E81-Calcul!G49*F81-Calcul!H49*G81)+N(Calcul!J49)*F81+IF(Calcul!K49="",Calcul!I49,Calcul!K49)*G81+N(Calcul!L49)*H81)/1000000,0)</f>
        <v>0</v>
      </c>
      <c r="S81" s="93" t="str">
        <f>IF(R81&gt;0,I81/R81,"")</f>
        <v/>
      </c>
      <c r="T81" s="89" t="str">
        <f>IF(OR(B81="",D81=0),"",IF(S81="","Sans tarif",IF(AND(S81&gt;=0.895,S81&lt;=1.005),"✓ Cohérent","⚠ Hors plage")))</f>
        <v/>
      </c>
      <c r="U81" s="89" t="str">
        <f>IF(B81="","",IFERROR(INDEX(K_FamDec,MATCH(C81,K_FamNom,0)),""))</f>
        <v/>
      </c>
    </row>
    <row r="82">
      <c r="B82" s="89" t="str">
        <f>IF(Calcul!B50="","",Calcul!B50)</f>
        <v>Claude Opus 4.8</v>
      </c>
      <c r="C82" s="89" t="str">
        <f>IF(B82="","",Calcul!C50)</f>
        <v>Anthropic</v>
      </c>
      <c r="D82" s="90">
        <f>IF(B82="",0,COUNTIF(D_Cle,B82))</f>
        <v>0</v>
      </c>
      <c r="E82" s="91">
        <f>IF(B82="",0,SUMIF(D_Cle,B82,D_I))</f>
        <v>0</v>
      </c>
      <c r="F82" s="91">
        <f>IF(B82="",0,SUMIF(D_Cle,B82,D_CR))</f>
        <v>0</v>
      </c>
      <c r="G82" s="91">
        <f>IF(B82="",0,SUMIF(D_Cle,B82,D_CW))</f>
        <v>0</v>
      </c>
      <c r="H82" s="91">
        <f>IF(B82="",0,SUMIF(D_Cle,B82,D_O))</f>
        <v>0</v>
      </c>
      <c r="I82" s="92">
        <f>IF(B82="",0,SUMIF(D_Cle,B82,D_Brut))</f>
        <v>0</v>
      </c>
      <c r="J82" s="90">
        <f>IF(B82="",0,SUMIF(D_Cle,B82,D_C2))</f>
        <v>0</v>
      </c>
      <c r="K82" s="92">
        <f>IF(AND(B82&lt;&gt;"",N(Calcul!L50)&gt;0),(Calcul!I50*(E82-F82-G82)+N(Calcul!J50)*F82+IF(Calcul!K50="",Calcul!I50,Calcul!K50)*G82+N(Calcul!L50)*H82)/1000000,0)</f>
        <v>0</v>
      </c>
      <c r="L82" s="92">
        <f>IF(AND(B82&lt;&gt;"",N(Calcul!L50)&gt;0),(Calcul!I50*(E82-F82)+N(Calcul!J50)*F82+IF(Calcul!K50="",Calcul!I50,Calcul!K50)*G82+N(Calcul!L50)*H82)/1000000,0)</f>
        <v>0</v>
      </c>
      <c r="M82" s="92">
        <f>IF(AND(B82&lt;&gt;"",N(Calcul!L50)&gt;0),(Calcul!I50*E82+N(Calcul!J50)*F82+IF(Calcul!K50="",Calcul!I50,Calcul!K50)*G82+N(Calcul!L50)*H82)/1000000,0)</f>
        <v>0</v>
      </c>
      <c r="N82" s="93" t="str">
        <f>IF(K82&gt;0,I82/K82,"")</f>
        <v/>
      </c>
      <c r="O82" s="93" t="str">
        <f>IF(L82&gt;0,I82/L82,"")</f>
        <v/>
      </c>
      <c r="P82" s="93" t="str">
        <f>IF(M82&gt;0,I82/M82,"")</f>
        <v/>
      </c>
      <c r="Q82" s="89" t="str">
        <f>IF(B82="","",Calcul!E50)</f>
        <v>Exclusive</v>
      </c>
      <c r="R82" s="92">
        <f>IF(AND(B82&lt;&gt;"",N(Calcul!L50)&gt;0),(Calcul!I50*(E82-Calcul!G50*F82-Calcul!H50*G82)+N(Calcul!J50)*F82+IF(Calcul!K50="",Calcul!I50,Calcul!K50)*G82+N(Calcul!L50)*H82)/1000000,0)</f>
        <v>0</v>
      </c>
      <c r="S82" s="93" t="str">
        <f>IF(R82&gt;0,I82/R82,"")</f>
        <v/>
      </c>
      <c r="T82" s="89" t="str">
        <f>IF(OR(B82="",D82=0),"",IF(S82="","Sans tarif",IF(AND(S82&gt;=0.895,S82&lt;=1.005),"✓ Cohérent","⚠ Hors plage")))</f>
        <v/>
      </c>
      <c r="U82" s="89" t="str">
        <f>IF(B82="","",IFERROR(INDEX(K_FamDec,MATCH(C82,K_FamNom,0)),""))</f>
        <v/>
      </c>
    </row>
    <row r="83">
      <c r="B83" s="89" t="str">
        <f>IF(Calcul!B51="","",Calcul!B51)</f>
        <v>Claude Opus 4.8 (fast mode)</v>
      </c>
      <c r="C83" s="89" t="str">
        <f>IF(B83="","",Calcul!C51)</f>
        <v>Anthropic</v>
      </c>
      <c r="D83" s="90">
        <f>IF(B83="",0,COUNTIF(D_Cle,B83))</f>
        <v>0</v>
      </c>
      <c r="E83" s="91">
        <f>IF(B83="",0,SUMIF(D_Cle,B83,D_I))</f>
        <v>0</v>
      </c>
      <c r="F83" s="91">
        <f>IF(B83="",0,SUMIF(D_Cle,B83,D_CR))</f>
        <v>0</v>
      </c>
      <c r="G83" s="91">
        <f>IF(B83="",0,SUMIF(D_Cle,B83,D_CW))</f>
        <v>0</v>
      </c>
      <c r="H83" s="91">
        <f>IF(B83="",0,SUMIF(D_Cle,B83,D_O))</f>
        <v>0</v>
      </c>
      <c r="I83" s="92">
        <f>IF(B83="",0,SUMIF(D_Cle,B83,D_Brut))</f>
        <v>0</v>
      </c>
      <c r="J83" s="90">
        <f>IF(B83="",0,SUMIF(D_Cle,B83,D_C2))</f>
        <v>0</v>
      </c>
      <c r="K83" s="92">
        <f>IF(AND(B83&lt;&gt;"",N(Calcul!L51)&gt;0),(Calcul!I51*(E83-F83-G83)+N(Calcul!J51)*F83+IF(Calcul!K51="",Calcul!I51,Calcul!K51)*G83+N(Calcul!L51)*H83)/1000000,0)</f>
        <v>0</v>
      </c>
      <c r="L83" s="92">
        <f>IF(AND(B83&lt;&gt;"",N(Calcul!L51)&gt;0),(Calcul!I51*(E83-F83)+N(Calcul!J51)*F83+IF(Calcul!K51="",Calcul!I51,Calcul!K51)*G83+N(Calcul!L51)*H83)/1000000,0)</f>
        <v>0</v>
      </c>
      <c r="M83" s="92">
        <f>IF(AND(B83&lt;&gt;"",N(Calcul!L51)&gt;0),(Calcul!I51*E83+N(Calcul!J51)*F83+IF(Calcul!K51="",Calcul!I51,Calcul!K51)*G83+N(Calcul!L51)*H83)/1000000,0)</f>
        <v>0</v>
      </c>
      <c r="N83" s="93" t="str">
        <f>IF(K83&gt;0,I83/K83,"")</f>
        <v/>
      </c>
      <c r="O83" s="93" t="str">
        <f>IF(L83&gt;0,I83/L83,"")</f>
        <v/>
      </c>
      <c r="P83" s="93" t="str">
        <f>IF(M83&gt;0,I83/M83,"")</f>
        <v/>
      </c>
      <c r="Q83" s="89" t="str">
        <f>IF(B83="","",Calcul!E51)</f>
        <v>Exclusive</v>
      </c>
      <c r="R83" s="92">
        <f>IF(AND(B83&lt;&gt;"",N(Calcul!L51)&gt;0),(Calcul!I51*(E83-Calcul!G51*F83-Calcul!H51*G83)+N(Calcul!J51)*F83+IF(Calcul!K51="",Calcul!I51,Calcul!K51)*G83+N(Calcul!L51)*H83)/1000000,0)</f>
        <v>0</v>
      </c>
      <c r="S83" s="93" t="str">
        <f>IF(R83&gt;0,I83/R83,"")</f>
        <v/>
      </c>
      <c r="T83" s="89" t="str">
        <f>IF(OR(B83="",D83=0),"",IF(S83="","Sans tarif",IF(AND(S83&gt;=0.895,S83&lt;=1.005),"✓ Cohérent","⚠ Hors plage")))</f>
        <v/>
      </c>
      <c r="U83" s="89" t="str">
        <f>IF(B83="","",IFERROR(INDEX(K_FamDec,MATCH(C83,K_FamNom,0)),""))</f>
        <v/>
      </c>
    </row>
    <row r="84">
      <c r="B84" s="89" t="str">
        <f>IF(Calcul!B52="","",Calcul!B52)</f>
        <v>Claude Opus 5</v>
      </c>
      <c r="C84" s="89" t="str">
        <f>IF(B84="","",Calcul!C52)</f>
        <v>Anthropic</v>
      </c>
      <c r="D84" s="90">
        <f>IF(B84="",0,COUNTIF(D_Cle,B84))</f>
        <v>0</v>
      </c>
      <c r="E84" s="91">
        <f>IF(B84="",0,SUMIF(D_Cle,B84,D_I))</f>
        <v>0</v>
      </c>
      <c r="F84" s="91">
        <f>IF(B84="",0,SUMIF(D_Cle,B84,D_CR))</f>
        <v>0</v>
      </c>
      <c r="G84" s="91">
        <f>IF(B84="",0,SUMIF(D_Cle,B84,D_CW))</f>
        <v>0</v>
      </c>
      <c r="H84" s="91">
        <f>IF(B84="",0,SUMIF(D_Cle,B84,D_O))</f>
        <v>0</v>
      </c>
      <c r="I84" s="92">
        <f>IF(B84="",0,SUMIF(D_Cle,B84,D_Brut))</f>
        <v>0</v>
      </c>
      <c r="J84" s="90">
        <f>IF(B84="",0,SUMIF(D_Cle,B84,D_C2))</f>
        <v>0</v>
      </c>
      <c r="K84" s="92">
        <f>IF(AND(B84&lt;&gt;"",N(Calcul!L52)&gt;0),(Calcul!I52*(E84-F84-G84)+N(Calcul!J52)*F84+IF(Calcul!K52="",Calcul!I52,Calcul!K52)*G84+N(Calcul!L52)*H84)/1000000,0)</f>
        <v>0</v>
      </c>
      <c r="L84" s="92">
        <f>IF(AND(B84&lt;&gt;"",N(Calcul!L52)&gt;0),(Calcul!I52*(E84-F84)+N(Calcul!J52)*F84+IF(Calcul!K52="",Calcul!I52,Calcul!K52)*G84+N(Calcul!L52)*H84)/1000000,0)</f>
        <v>0</v>
      </c>
      <c r="M84" s="92">
        <f>IF(AND(B84&lt;&gt;"",N(Calcul!L52)&gt;0),(Calcul!I52*E84+N(Calcul!J52)*F84+IF(Calcul!K52="",Calcul!I52,Calcul!K52)*G84+N(Calcul!L52)*H84)/1000000,0)</f>
        <v>0</v>
      </c>
      <c r="N84" s="93" t="str">
        <f>IF(K84&gt;0,I84/K84,"")</f>
        <v/>
      </c>
      <c r="O84" s="93" t="str">
        <f>IF(L84&gt;0,I84/L84,"")</f>
        <v/>
      </c>
      <c r="P84" s="93" t="str">
        <f>IF(M84&gt;0,I84/M84,"")</f>
        <v/>
      </c>
      <c r="Q84" s="89" t="str">
        <f>IF(B84="","",Calcul!E52)</f>
        <v>Exclusive</v>
      </c>
      <c r="R84" s="92">
        <f>IF(AND(B84&lt;&gt;"",N(Calcul!L52)&gt;0),(Calcul!I52*(E84-Calcul!G52*F84-Calcul!H52*G84)+N(Calcul!J52)*F84+IF(Calcul!K52="",Calcul!I52,Calcul!K52)*G84+N(Calcul!L52)*H84)/1000000,0)</f>
        <v>0</v>
      </c>
      <c r="S84" s="93" t="str">
        <f>IF(R84&gt;0,I84/R84,"")</f>
        <v/>
      </c>
      <c r="T84" s="89" t="str">
        <f>IF(OR(B84="",D84=0),"",IF(S84="","Sans tarif",IF(AND(S84&gt;=0.895,S84&lt;=1.005),"✓ Cohérent","⚠ Hors plage")))</f>
        <v/>
      </c>
      <c r="U84" s="89" t="str">
        <f>IF(B84="","",IFERROR(INDEX(K_FamDec,MATCH(C84,K_FamNom,0)),""))</f>
        <v/>
      </c>
    </row>
    <row r="85">
      <c r="B85" s="89" t="str">
        <f>IF(Calcul!B53="","",Calcul!B53)</f>
        <v>Claude Opus 5.5</v>
      </c>
      <c r="C85" s="89" t="str">
        <f>IF(B85="","",Calcul!C53)</f>
        <v>Anthropic</v>
      </c>
      <c r="D85" s="90">
        <f>IF(B85="",0,COUNTIF(D_Cle,B85))</f>
        <v>0</v>
      </c>
      <c r="E85" s="91">
        <f>IF(B85="",0,SUMIF(D_Cle,B85,D_I))</f>
        <v>0</v>
      </c>
      <c r="F85" s="91">
        <f>IF(B85="",0,SUMIF(D_Cle,B85,D_CR))</f>
        <v>0</v>
      </c>
      <c r="G85" s="91">
        <f>IF(B85="",0,SUMIF(D_Cle,B85,D_CW))</f>
        <v>0</v>
      </c>
      <c r="H85" s="91">
        <f>IF(B85="",0,SUMIF(D_Cle,B85,D_O))</f>
        <v>0</v>
      </c>
      <c r="I85" s="92">
        <f>IF(B85="",0,SUMIF(D_Cle,B85,D_Brut))</f>
        <v>0</v>
      </c>
      <c r="J85" s="90">
        <f>IF(B85="",0,SUMIF(D_Cle,B85,D_C2))</f>
        <v>0</v>
      </c>
      <c r="K85" s="92">
        <f>IF(AND(B85&lt;&gt;"",N(Calcul!L53)&gt;0),(Calcul!I53*(E85-F85-G85)+N(Calcul!J53)*F85+IF(Calcul!K53="",Calcul!I53,Calcul!K53)*G85+N(Calcul!L53)*H85)/1000000,0)</f>
        <v>0</v>
      </c>
      <c r="L85" s="92">
        <f>IF(AND(B85&lt;&gt;"",N(Calcul!L53)&gt;0),(Calcul!I53*(E85-F85)+N(Calcul!J53)*F85+IF(Calcul!K53="",Calcul!I53,Calcul!K53)*G85+N(Calcul!L53)*H85)/1000000,0)</f>
        <v>0</v>
      </c>
      <c r="M85" s="92">
        <f>IF(AND(B85&lt;&gt;"",N(Calcul!L53)&gt;0),(Calcul!I53*E85+N(Calcul!J53)*F85+IF(Calcul!K53="",Calcul!I53,Calcul!K53)*G85+N(Calcul!L53)*H85)/1000000,0)</f>
        <v>0</v>
      </c>
      <c r="N85" s="93" t="str">
        <f>IF(K85&gt;0,I85/K85,"")</f>
        <v/>
      </c>
      <c r="O85" s="93" t="str">
        <f>IF(L85&gt;0,I85/L85,"")</f>
        <v/>
      </c>
      <c r="P85" s="93" t="str">
        <f>IF(M85&gt;0,I85/M85,"")</f>
        <v/>
      </c>
      <c r="Q85" s="89" t="str">
        <f>IF(B85="","",Calcul!E53)</f>
        <v>Exclusive</v>
      </c>
      <c r="R85" s="92">
        <f>IF(AND(B85&lt;&gt;"",N(Calcul!L53)&gt;0),(Calcul!I53*(E85-Calcul!G53*F85-Calcul!H53*G85)+N(Calcul!J53)*F85+IF(Calcul!K53="",Calcul!I53,Calcul!K53)*G85+N(Calcul!L53)*H85)/1000000,0)</f>
        <v>0</v>
      </c>
      <c r="S85" s="93" t="str">
        <f>IF(R85&gt;0,I85/R85,"")</f>
        <v/>
      </c>
      <c r="T85" s="89" t="str">
        <f>IF(OR(B85="",D85=0),"",IF(S85="","Sans tarif",IF(AND(S85&gt;=0.895,S85&lt;=1.005),"✓ Cohérent","⚠ Hors plage")))</f>
        <v/>
      </c>
      <c r="U85" s="89" t="str">
        <f>IF(B85="","",IFERROR(INDEX(K_FamDec,MATCH(C85,K_FamNom,0)),""))</f>
        <v/>
      </c>
    </row>
    <row r="86">
      <c r="B86" s="89" t="str">
        <f>IF(Calcul!B54="","",Calcul!B54)</f>
        <v>Claude Fable 5</v>
      </c>
      <c r="C86" s="89" t="str">
        <f>IF(B86="","",Calcul!C54)</f>
        <v>Anthropic</v>
      </c>
      <c r="D86" s="90">
        <f>IF(B86="",0,COUNTIF(D_Cle,B86))</f>
        <v>0</v>
      </c>
      <c r="E86" s="91">
        <f>IF(B86="",0,SUMIF(D_Cle,B86,D_I))</f>
        <v>0</v>
      </c>
      <c r="F86" s="91">
        <f>IF(B86="",0,SUMIF(D_Cle,B86,D_CR))</f>
        <v>0</v>
      </c>
      <c r="G86" s="91">
        <f>IF(B86="",0,SUMIF(D_Cle,B86,D_CW))</f>
        <v>0</v>
      </c>
      <c r="H86" s="91">
        <f>IF(B86="",0,SUMIF(D_Cle,B86,D_O))</f>
        <v>0</v>
      </c>
      <c r="I86" s="92">
        <f>IF(B86="",0,SUMIF(D_Cle,B86,D_Brut))</f>
        <v>0</v>
      </c>
      <c r="J86" s="90">
        <f>IF(B86="",0,SUMIF(D_Cle,B86,D_C2))</f>
        <v>0</v>
      </c>
      <c r="K86" s="92">
        <f>IF(AND(B86&lt;&gt;"",N(Calcul!L54)&gt;0),(Calcul!I54*(E86-F86-G86)+N(Calcul!J54)*F86+IF(Calcul!K54="",Calcul!I54,Calcul!K54)*G86+N(Calcul!L54)*H86)/1000000,0)</f>
        <v>0</v>
      </c>
      <c r="L86" s="92">
        <f>IF(AND(B86&lt;&gt;"",N(Calcul!L54)&gt;0),(Calcul!I54*(E86-F86)+N(Calcul!J54)*F86+IF(Calcul!K54="",Calcul!I54,Calcul!K54)*G86+N(Calcul!L54)*H86)/1000000,0)</f>
        <v>0</v>
      </c>
      <c r="M86" s="92">
        <f>IF(AND(B86&lt;&gt;"",N(Calcul!L54)&gt;0),(Calcul!I54*E86+N(Calcul!J54)*F86+IF(Calcul!K54="",Calcul!I54,Calcul!K54)*G86+N(Calcul!L54)*H86)/1000000,0)</f>
        <v>0</v>
      </c>
      <c r="N86" s="93" t="str">
        <f>IF(K86&gt;0,I86/K86,"")</f>
        <v/>
      </c>
      <c r="O86" s="93" t="str">
        <f>IF(L86&gt;0,I86/L86,"")</f>
        <v/>
      </c>
      <c r="P86" s="93" t="str">
        <f>IF(M86&gt;0,I86/M86,"")</f>
        <v/>
      </c>
      <c r="Q86" s="89" t="str">
        <f>IF(B86="","",Calcul!E54)</f>
        <v>Exclusive</v>
      </c>
      <c r="R86" s="92">
        <f>IF(AND(B86&lt;&gt;"",N(Calcul!L54)&gt;0),(Calcul!I54*(E86-Calcul!G54*F86-Calcul!H54*G86)+N(Calcul!J54)*F86+IF(Calcul!K54="",Calcul!I54,Calcul!K54)*G86+N(Calcul!L54)*H86)/1000000,0)</f>
        <v>0</v>
      </c>
      <c r="S86" s="93" t="str">
        <f>IF(R86&gt;0,I86/R86,"")</f>
        <v/>
      </c>
      <c r="T86" s="89" t="str">
        <f>IF(OR(B86="",D86=0),"",IF(S86="","Sans tarif",IF(AND(S86&gt;=0.895,S86&lt;=1.005),"✓ Cohérent","⚠ Hors plage")))</f>
        <v/>
      </c>
      <c r="U86" s="89" t="str">
        <f>IF(B86="","",IFERROR(INDEX(K_FamDec,MATCH(C86,K_FamNom,0)),""))</f>
        <v/>
      </c>
    </row>
    <row r="87">
      <c r="B87" s="89" t="str">
        <f>IF(Calcul!B55="","",Calcul!B55)</f>
        <v>Claude Fable 5.1</v>
      </c>
      <c r="C87" s="89" t="str">
        <f>IF(B87="","",Calcul!C55)</f>
        <v>Anthropic</v>
      </c>
      <c r="D87" s="90">
        <f>IF(B87="",0,COUNTIF(D_Cle,B87))</f>
        <v>0</v>
      </c>
      <c r="E87" s="91">
        <f>IF(B87="",0,SUMIF(D_Cle,B87,D_I))</f>
        <v>0</v>
      </c>
      <c r="F87" s="91">
        <f>IF(B87="",0,SUMIF(D_Cle,B87,D_CR))</f>
        <v>0</v>
      </c>
      <c r="G87" s="91">
        <f>IF(B87="",0,SUMIF(D_Cle,B87,D_CW))</f>
        <v>0</v>
      </c>
      <c r="H87" s="91">
        <f>IF(B87="",0,SUMIF(D_Cle,B87,D_O))</f>
        <v>0</v>
      </c>
      <c r="I87" s="92">
        <f>IF(B87="",0,SUMIF(D_Cle,B87,D_Brut))</f>
        <v>0</v>
      </c>
      <c r="J87" s="90">
        <f>IF(B87="",0,SUMIF(D_Cle,B87,D_C2))</f>
        <v>0</v>
      </c>
      <c r="K87" s="92">
        <f>IF(AND(B87&lt;&gt;"",N(Calcul!L55)&gt;0),(Calcul!I55*(E87-F87-G87)+N(Calcul!J55)*F87+IF(Calcul!K55="",Calcul!I55,Calcul!K55)*G87+N(Calcul!L55)*H87)/1000000,0)</f>
        <v>0</v>
      </c>
      <c r="L87" s="92">
        <f>IF(AND(B87&lt;&gt;"",N(Calcul!L55)&gt;0),(Calcul!I55*(E87-F87)+N(Calcul!J55)*F87+IF(Calcul!K55="",Calcul!I55,Calcul!K55)*G87+N(Calcul!L55)*H87)/1000000,0)</f>
        <v>0</v>
      </c>
      <c r="M87" s="92">
        <f>IF(AND(B87&lt;&gt;"",N(Calcul!L55)&gt;0),(Calcul!I55*E87+N(Calcul!J55)*F87+IF(Calcul!K55="",Calcul!I55,Calcul!K55)*G87+N(Calcul!L55)*H87)/1000000,0)</f>
        <v>0</v>
      </c>
      <c r="N87" s="93" t="str">
        <f>IF(K87&gt;0,I87/K87,"")</f>
        <v/>
      </c>
      <c r="O87" s="93" t="str">
        <f>IF(L87&gt;0,I87/L87,"")</f>
        <v/>
      </c>
      <c r="P87" s="93" t="str">
        <f>IF(M87&gt;0,I87/M87,"")</f>
        <v/>
      </c>
      <c r="Q87" s="89" t="str">
        <f>IF(B87="","",Calcul!E55)</f>
        <v>Exclusive</v>
      </c>
      <c r="R87" s="92">
        <f>IF(AND(B87&lt;&gt;"",N(Calcul!L55)&gt;0),(Calcul!I55*(E87-Calcul!G55*F87-Calcul!H55*G87)+N(Calcul!J55)*F87+IF(Calcul!K55="",Calcul!I55,Calcul!K55)*G87+N(Calcul!L55)*H87)/1000000,0)</f>
        <v>0</v>
      </c>
      <c r="S87" s="93" t="str">
        <f>IF(R87&gt;0,I87/R87,"")</f>
        <v/>
      </c>
      <c r="T87" s="89" t="str">
        <f>IF(OR(B87="",D87=0),"",IF(S87="","Sans tarif",IF(AND(S87&gt;=0.895,S87&lt;=1.005),"✓ Cohérent","⚠ Hors plage")))</f>
        <v/>
      </c>
      <c r="U87" s="89" t="str">
        <f>IF(B87="","",IFERROR(INDEX(K_FamDec,MATCH(C87,K_FamNom,0)),""))</f>
        <v/>
      </c>
    </row>
    <row r="88">
      <c r="B88" s="89" t="str">
        <f>IF(Calcul!B56="","",Calcul!B56)</f>
        <v>Gemini 3.8 Flash</v>
      </c>
      <c r="C88" s="89" t="str">
        <f>IF(B88="","",Calcul!C56)</f>
        <v>Google Gemini</v>
      </c>
      <c r="D88" s="90">
        <f>IF(B88="",0,COUNTIF(D_Cle,B88))</f>
        <v>0</v>
      </c>
      <c r="E88" s="91">
        <f>IF(B88="",0,SUMIF(D_Cle,B88,D_I))</f>
        <v>0</v>
      </c>
      <c r="F88" s="91">
        <f>IF(B88="",0,SUMIF(D_Cle,B88,D_CR))</f>
        <v>0</v>
      </c>
      <c r="G88" s="91">
        <f>IF(B88="",0,SUMIF(D_Cle,B88,D_CW))</f>
        <v>0</v>
      </c>
      <c r="H88" s="91">
        <f>IF(B88="",0,SUMIF(D_Cle,B88,D_O))</f>
        <v>0</v>
      </c>
      <c r="I88" s="92">
        <f>IF(B88="",0,SUMIF(D_Cle,B88,D_Brut))</f>
        <v>0</v>
      </c>
      <c r="J88" s="90">
        <f>IF(B88="",0,SUMIF(D_Cle,B88,D_C2))</f>
        <v>0</v>
      </c>
      <c r="K88" s="92">
        <f>IF(AND(B88&lt;&gt;"",N(Calcul!L56)&gt;0),(Calcul!I56*(E88-F88-G88)+N(Calcul!J56)*F88+IF(Calcul!K56="",Calcul!I56,Calcul!K56)*G88+N(Calcul!L56)*H88)/1000000,0)</f>
        <v>0</v>
      </c>
      <c r="L88" s="92">
        <f>IF(AND(B88&lt;&gt;"",N(Calcul!L56)&gt;0),(Calcul!I56*(E88-F88)+N(Calcul!J56)*F88+IF(Calcul!K56="",Calcul!I56,Calcul!K56)*G88+N(Calcul!L56)*H88)/1000000,0)</f>
        <v>0</v>
      </c>
      <c r="M88" s="92">
        <f>IF(AND(B88&lt;&gt;"",N(Calcul!L56)&gt;0),(Calcul!I56*E88+N(Calcul!J56)*F88+IF(Calcul!K56="",Calcul!I56,Calcul!K56)*G88+N(Calcul!L56)*H88)/1000000,0)</f>
        <v>0</v>
      </c>
      <c r="N88" s="93" t="str">
        <f>IF(K88&gt;0,I88/K88,"")</f>
        <v/>
      </c>
      <c r="O88" s="93" t="str">
        <f>IF(L88&gt;0,I88/L88,"")</f>
        <v/>
      </c>
      <c r="P88" s="93" t="str">
        <f>IF(M88&gt;0,I88/M88,"")</f>
        <v/>
      </c>
      <c r="Q88" s="89" t="str">
        <f>IF(B88="","",Calcul!E56)</f>
        <v>Inclusive</v>
      </c>
      <c r="R88" s="92">
        <f>IF(AND(B88&lt;&gt;"",N(Calcul!L56)&gt;0),(Calcul!I56*(E88-Calcul!G56*F88-Calcul!H56*G88)+N(Calcul!J56)*F88+IF(Calcul!K56="",Calcul!I56,Calcul!K56)*G88+N(Calcul!L56)*H88)/1000000,0)</f>
        <v>0</v>
      </c>
      <c r="S88" s="93" t="str">
        <f>IF(R88&gt;0,I88/R88,"")</f>
        <v/>
      </c>
      <c r="T88" s="89" t="str">
        <f>IF(OR(B88="",D88=0),"",IF(S88="","Sans tarif",IF(AND(S88&gt;=0.895,S88&lt;=1.005),"✓ Cohérent","⚠ Hors plage")))</f>
        <v/>
      </c>
      <c r="U88" s="89" t="str">
        <f>IF(B88="","",IFERROR(INDEX(K_FamDec,MATCH(C88,K_FamNom,0)),""))</f>
        <v/>
      </c>
    </row>
    <row r="89">
      <c r="B89" s="89" t="str">
        <f>IF(Calcul!B57="","",Calcul!B57)</f>
        <v>Gemini 4 Argon</v>
      </c>
      <c r="C89" s="89" t="str">
        <f>IF(B89="","",Calcul!C57)</f>
        <v>Google Gemini</v>
      </c>
      <c r="D89" s="90">
        <f>IF(B89="",0,COUNTIF(D_Cle,B89))</f>
        <v>0</v>
      </c>
      <c r="E89" s="91">
        <f>IF(B89="",0,SUMIF(D_Cle,B89,D_I))</f>
        <v>0</v>
      </c>
      <c r="F89" s="91">
        <f>IF(B89="",0,SUMIF(D_Cle,B89,D_CR))</f>
        <v>0</v>
      </c>
      <c r="G89" s="91">
        <f>IF(B89="",0,SUMIF(D_Cle,B89,D_CW))</f>
        <v>0</v>
      </c>
      <c r="H89" s="91">
        <f>IF(B89="",0,SUMIF(D_Cle,B89,D_O))</f>
        <v>0</v>
      </c>
      <c r="I89" s="92">
        <f>IF(B89="",0,SUMIF(D_Cle,B89,D_Brut))</f>
        <v>0</v>
      </c>
      <c r="J89" s="90">
        <f>IF(B89="",0,SUMIF(D_Cle,B89,D_C2))</f>
        <v>0</v>
      </c>
      <c r="K89" s="92">
        <f>IF(AND(B89&lt;&gt;"",N(Calcul!L57)&gt;0),(Calcul!I57*(E89-F89-G89)+N(Calcul!J57)*F89+IF(Calcul!K57="",Calcul!I57,Calcul!K57)*G89+N(Calcul!L57)*H89)/1000000,0)</f>
        <v>0</v>
      </c>
      <c r="L89" s="92">
        <f>IF(AND(B89&lt;&gt;"",N(Calcul!L57)&gt;0),(Calcul!I57*(E89-F89)+N(Calcul!J57)*F89+IF(Calcul!K57="",Calcul!I57,Calcul!K57)*G89+N(Calcul!L57)*H89)/1000000,0)</f>
        <v>0</v>
      </c>
      <c r="M89" s="92">
        <f>IF(AND(B89&lt;&gt;"",N(Calcul!L57)&gt;0),(Calcul!I57*E89+N(Calcul!J57)*F89+IF(Calcul!K57="",Calcul!I57,Calcul!K57)*G89+N(Calcul!L57)*H89)/1000000,0)</f>
        <v>0</v>
      </c>
      <c r="N89" s="93" t="str">
        <f>IF(K89&gt;0,I89/K89,"")</f>
        <v/>
      </c>
      <c r="O89" s="93" t="str">
        <f>IF(L89&gt;0,I89/L89,"")</f>
        <v/>
      </c>
      <c r="P89" s="93" t="str">
        <f>IF(M89&gt;0,I89/M89,"")</f>
        <v/>
      </c>
      <c r="Q89" s="89" t="str">
        <f>IF(B89="","",Calcul!E57)</f>
        <v>Inclusive</v>
      </c>
      <c r="R89" s="92">
        <f>IF(AND(B89&lt;&gt;"",N(Calcul!L57)&gt;0),(Calcul!I57*(E89-Calcul!G57*F89-Calcul!H57*G89)+N(Calcul!J57)*F89+IF(Calcul!K57="",Calcul!I57,Calcul!K57)*G89+N(Calcul!L57)*H89)/1000000,0)</f>
        <v>0</v>
      </c>
      <c r="S89" s="93" t="str">
        <f>IF(R89&gt;0,I89/R89,"")</f>
        <v/>
      </c>
      <c r="T89" s="89" t="str">
        <f>IF(OR(B89="",D89=0),"",IF(S89="","Sans tarif",IF(AND(S89&gt;=0.895,S89&lt;=1.005),"✓ Cohérent","⚠ Hors plage")))</f>
        <v/>
      </c>
      <c r="U89" s="89" t="str">
        <f>IF(B89="","",IFERROR(INDEX(K_FamDec,MATCH(C89,K_FamNom,0)),""))</f>
        <v/>
      </c>
    </row>
    <row r="90">
      <c r="B90" s="89" t="str">
        <f>IF(Calcul!B58="","",Calcul!B58)</f>
        <v>Gemini 3.7 Flash</v>
      </c>
      <c r="C90" s="89" t="str">
        <f>IF(B90="","",Calcul!C58)</f>
        <v>Google Gemini</v>
      </c>
      <c r="D90" s="90">
        <f>IF(B90="",0,COUNTIF(D_Cle,B90))</f>
        <v>0</v>
      </c>
      <c r="E90" s="91">
        <f>IF(B90="",0,SUMIF(D_Cle,B90,D_I))</f>
        <v>0</v>
      </c>
      <c r="F90" s="91">
        <f>IF(B90="",0,SUMIF(D_Cle,B90,D_CR))</f>
        <v>0</v>
      </c>
      <c r="G90" s="91">
        <f>IF(B90="",0,SUMIF(D_Cle,B90,D_CW))</f>
        <v>0</v>
      </c>
      <c r="H90" s="91">
        <f>IF(B90="",0,SUMIF(D_Cle,B90,D_O))</f>
        <v>0</v>
      </c>
      <c r="I90" s="92">
        <f>IF(B90="",0,SUMIF(D_Cle,B90,D_Brut))</f>
        <v>0</v>
      </c>
      <c r="J90" s="90">
        <f>IF(B90="",0,SUMIF(D_Cle,B90,D_C2))</f>
        <v>0</v>
      </c>
      <c r="K90" s="92">
        <f>IF(AND(B90&lt;&gt;"",N(Calcul!L58)&gt;0),(Calcul!I58*(E90-F90-G90)+N(Calcul!J58)*F90+IF(Calcul!K58="",Calcul!I58,Calcul!K58)*G90+N(Calcul!L58)*H90)/1000000,0)</f>
        <v>0</v>
      </c>
      <c r="L90" s="92">
        <f>IF(AND(B90&lt;&gt;"",N(Calcul!L58)&gt;0),(Calcul!I58*(E90-F90)+N(Calcul!J58)*F90+IF(Calcul!K58="",Calcul!I58,Calcul!K58)*G90+N(Calcul!L58)*H90)/1000000,0)</f>
        <v>0</v>
      </c>
      <c r="M90" s="92">
        <f>IF(AND(B90&lt;&gt;"",N(Calcul!L58)&gt;0),(Calcul!I58*E90+N(Calcul!J58)*F90+IF(Calcul!K58="",Calcul!I58,Calcul!K58)*G90+N(Calcul!L58)*H90)/1000000,0)</f>
        <v>0</v>
      </c>
      <c r="N90" s="93" t="str">
        <f>IF(K90&gt;0,I90/K90,"")</f>
        <v/>
      </c>
      <c r="O90" s="93" t="str">
        <f>IF(L90&gt;0,I90/L90,"")</f>
        <v/>
      </c>
      <c r="P90" s="93" t="str">
        <f>IF(M90&gt;0,I90/M90,"")</f>
        <v/>
      </c>
      <c r="Q90" s="89" t="str">
        <f>IF(B90="","",Calcul!E58)</f>
        <v>Inclusive</v>
      </c>
      <c r="R90" s="92">
        <f>IF(AND(B90&lt;&gt;"",N(Calcul!L58)&gt;0),(Calcul!I58*(E90-Calcul!G58*F90-Calcul!H58*G90)+N(Calcul!J58)*F90+IF(Calcul!K58="",Calcul!I58,Calcul!K58)*G90+N(Calcul!L58)*H90)/1000000,0)</f>
        <v>0</v>
      </c>
      <c r="S90" s="93" t="str">
        <f>IF(R90&gt;0,I90/R90,"")</f>
        <v/>
      </c>
      <c r="T90" s="89" t="str">
        <f>IF(OR(B90="",D90=0),"",IF(S90="","Sans tarif",IF(AND(S90&gt;=0.895,S90&lt;=1.005),"✓ Cohérent","⚠ Hors plage")))</f>
        <v/>
      </c>
      <c r="U90" s="89" t="str">
        <f>IF(B90="","",IFERROR(INDEX(K_FamDec,MATCH(C90,K_FamNom,0)),""))</f>
        <v/>
      </c>
    </row>
    <row r="91">
      <c r="B91" s="89" t="str">
        <f>IF(Calcul!B59="","",Calcul!B59)</f>
        <v>Gemini 3.5 Flash</v>
      </c>
      <c r="C91" s="89" t="str">
        <f>IF(B91="","",Calcul!C59)</f>
        <v>Google Gemini</v>
      </c>
      <c r="D91" s="90">
        <f>IF(B91="",0,COUNTIF(D_Cle,B91))</f>
        <v>0</v>
      </c>
      <c r="E91" s="91">
        <f>IF(B91="",0,SUMIF(D_Cle,B91,D_I))</f>
        <v>0</v>
      </c>
      <c r="F91" s="91">
        <f>IF(B91="",0,SUMIF(D_Cle,B91,D_CR))</f>
        <v>0</v>
      </c>
      <c r="G91" s="91">
        <f>IF(B91="",0,SUMIF(D_Cle,B91,D_CW))</f>
        <v>0</v>
      </c>
      <c r="H91" s="91">
        <f>IF(B91="",0,SUMIF(D_Cle,B91,D_O))</f>
        <v>0</v>
      </c>
      <c r="I91" s="92">
        <f>IF(B91="",0,SUMIF(D_Cle,B91,D_Brut))</f>
        <v>0</v>
      </c>
      <c r="J91" s="90">
        <f>IF(B91="",0,SUMIF(D_Cle,B91,D_C2))</f>
        <v>0</v>
      </c>
      <c r="K91" s="92">
        <f>IF(AND(B91&lt;&gt;"",N(Calcul!L59)&gt;0),(Calcul!I59*(E91-F91-G91)+N(Calcul!J59)*F91+IF(Calcul!K59="",Calcul!I59,Calcul!K59)*G91+N(Calcul!L59)*H91)/1000000,0)</f>
        <v>0</v>
      </c>
      <c r="L91" s="92">
        <f>IF(AND(B91&lt;&gt;"",N(Calcul!L59)&gt;0),(Calcul!I59*(E91-F91)+N(Calcul!J59)*F91+IF(Calcul!K59="",Calcul!I59,Calcul!K59)*G91+N(Calcul!L59)*H91)/1000000,0)</f>
        <v>0</v>
      </c>
      <c r="M91" s="92">
        <f>IF(AND(B91&lt;&gt;"",N(Calcul!L59)&gt;0),(Calcul!I59*E91+N(Calcul!J59)*F91+IF(Calcul!K59="",Calcul!I59,Calcul!K59)*G91+N(Calcul!L59)*H91)/1000000,0)</f>
        <v>0</v>
      </c>
      <c r="N91" s="93" t="str">
        <f>IF(K91&gt;0,I91/K91,"")</f>
        <v/>
      </c>
      <c r="O91" s="93" t="str">
        <f>IF(L91&gt;0,I91/L91,"")</f>
        <v/>
      </c>
      <c r="P91" s="93" t="str">
        <f>IF(M91&gt;0,I91/M91,"")</f>
        <v/>
      </c>
      <c r="Q91" s="89" t="str">
        <f>IF(B91="","",Calcul!E59)</f>
        <v>Inclusive</v>
      </c>
      <c r="R91" s="92">
        <f>IF(AND(B91&lt;&gt;"",N(Calcul!L59)&gt;0),(Calcul!I59*(E91-Calcul!G59*F91-Calcul!H59*G91)+N(Calcul!J59)*F91+IF(Calcul!K59="",Calcul!I59,Calcul!K59)*G91+N(Calcul!L59)*H91)/1000000,0)</f>
        <v>0</v>
      </c>
      <c r="S91" s="93" t="str">
        <f>IF(R91&gt;0,I91/R91,"")</f>
        <v/>
      </c>
      <c r="T91" s="89" t="str">
        <f>IF(OR(B91="",D91=0),"",IF(S91="","Sans tarif",IF(AND(S91&gt;=0.895,S91&lt;=1.005),"✓ Cohérent","⚠ Hors plage")))</f>
        <v/>
      </c>
      <c r="U91" s="89" t="str">
        <f>IF(B91="","",IFERROR(INDEX(K_FamDec,MATCH(C91,K_FamNom,0)),""))</f>
        <v/>
      </c>
    </row>
    <row r="92">
      <c r="B92" s="89" t="str">
        <f>IF(Calcul!B60="","",Calcul!B60)</f>
        <v>MAI-Code-1.1-Flash</v>
      </c>
      <c r="C92" s="89" t="str">
        <f>IF(B92="","",Calcul!C60)</f>
        <v>Microsoft MAI</v>
      </c>
      <c r="D92" s="90">
        <f>IF(B92="",0,COUNTIF(D_Cle,B92))</f>
        <v>0</v>
      </c>
      <c r="E92" s="91">
        <f>IF(B92="",0,SUMIF(D_Cle,B92,D_I))</f>
        <v>0</v>
      </c>
      <c r="F92" s="91">
        <f>IF(B92="",0,SUMIF(D_Cle,B92,D_CR))</f>
        <v>0</v>
      </c>
      <c r="G92" s="91">
        <f>IF(B92="",0,SUMIF(D_Cle,B92,D_CW))</f>
        <v>0</v>
      </c>
      <c r="H92" s="91">
        <f>IF(B92="",0,SUMIF(D_Cle,B92,D_O))</f>
        <v>0</v>
      </c>
      <c r="I92" s="92">
        <f>IF(B92="",0,SUMIF(D_Cle,B92,D_Brut))</f>
        <v>0</v>
      </c>
      <c r="J92" s="90">
        <f>IF(B92="",0,SUMIF(D_Cle,B92,D_C2))</f>
        <v>0</v>
      </c>
      <c r="K92" s="92">
        <f>IF(AND(B92&lt;&gt;"",N(Calcul!L60)&gt;0),(Calcul!I60*(E92-F92-G92)+N(Calcul!J60)*F92+IF(Calcul!K60="",Calcul!I60,Calcul!K60)*G92+N(Calcul!L60)*H92)/1000000,0)</f>
        <v>0</v>
      </c>
      <c r="L92" s="92">
        <f>IF(AND(B92&lt;&gt;"",N(Calcul!L60)&gt;0),(Calcul!I60*(E92-F92)+N(Calcul!J60)*F92+IF(Calcul!K60="",Calcul!I60,Calcul!K60)*G92+N(Calcul!L60)*H92)/1000000,0)</f>
        <v>0</v>
      </c>
      <c r="M92" s="92">
        <f>IF(AND(B92&lt;&gt;"",N(Calcul!L60)&gt;0),(Calcul!I60*E92+N(Calcul!J60)*F92+IF(Calcul!K60="",Calcul!I60,Calcul!K60)*G92+N(Calcul!L60)*H92)/1000000,0)</f>
        <v>0</v>
      </c>
      <c r="N92" s="93" t="str">
        <f>IF(K92&gt;0,I92/K92,"")</f>
        <v/>
      </c>
      <c r="O92" s="93" t="str">
        <f>IF(L92&gt;0,I92/L92,"")</f>
        <v/>
      </c>
      <c r="P92" s="93" t="str">
        <f>IF(M92&gt;0,I92/M92,"")</f>
        <v/>
      </c>
      <c r="Q92" s="89" t="str">
        <f>IF(B92="","",Calcul!E60)</f>
        <v>Inclusive</v>
      </c>
      <c r="R92" s="92">
        <f>IF(AND(B92&lt;&gt;"",N(Calcul!L60)&gt;0),(Calcul!I60*(E92-Calcul!G60*F92-Calcul!H60*G92)+N(Calcul!J60)*F92+IF(Calcul!K60="",Calcul!I60,Calcul!K60)*G92+N(Calcul!L60)*H92)/1000000,0)</f>
        <v>0</v>
      </c>
      <c r="S92" s="93" t="str">
        <f>IF(R92&gt;0,I92/R92,"")</f>
        <v/>
      </c>
      <c r="T92" s="89" t="str">
        <f>IF(OR(B92="",D92=0),"",IF(S92="","Sans tarif",IF(AND(S92&gt;=0.895,S92&lt;=1.005),"✓ Cohérent","⚠ Hors plage")))</f>
        <v/>
      </c>
      <c r="U92" s="89" t="str">
        <f>IF(B92="","",IFERROR(INDEX(K_FamDec,MATCH(C92,K_FamNom,0)),""))</f>
        <v/>
      </c>
    </row>
    <row r="93">
      <c r="B93" s="89" t="str">
        <f>IF(Calcul!B61="","",Calcul!B61)</f>
        <v>Grok 4.5</v>
      </c>
      <c r="C93" s="89" t="str">
        <f>IF(B93="","",Calcul!C61)</f>
        <v>xAI Grok</v>
      </c>
      <c r="D93" s="90">
        <f>IF(B93="",0,COUNTIF(D_Cle,B93))</f>
        <v>0</v>
      </c>
      <c r="E93" s="91">
        <f>IF(B93="",0,SUMIF(D_Cle,B93,D_I))</f>
        <v>0</v>
      </c>
      <c r="F93" s="91">
        <f>IF(B93="",0,SUMIF(D_Cle,B93,D_CR))</f>
        <v>0</v>
      </c>
      <c r="G93" s="91">
        <f>IF(B93="",0,SUMIF(D_Cle,B93,D_CW))</f>
        <v>0</v>
      </c>
      <c r="H93" s="91">
        <f>IF(B93="",0,SUMIF(D_Cle,B93,D_O))</f>
        <v>0</v>
      </c>
      <c r="I93" s="92">
        <f>IF(B93="",0,SUMIF(D_Cle,B93,D_Brut))</f>
        <v>0</v>
      </c>
      <c r="J93" s="90">
        <f>IF(B93="",0,SUMIF(D_Cle,B93,D_C2))</f>
        <v>0</v>
      </c>
      <c r="K93" s="92">
        <f>IF(AND(B93&lt;&gt;"",N(Calcul!L61)&gt;0),(Calcul!I61*(E93-F93-G93)+N(Calcul!J61)*F93+IF(Calcul!K61="",Calcul!I61,Calcul!K61)*G93+N(Calcul!L61)*H93)/1000000,0)</f>
        <v>0</v>
      </c>
      <c r="L93" s="92">
        <f>IF(AND(B93&lt;&gt;"",N(Calcul!L61)&gt;0),(Calcul!I61*(E93-F93)+N(Calcul!J61)*F93+IF(Calcul!K61="",Calcul!I61,Calcul!K61)*G93+N(Calcul!L61)*H93)/1000000,0)</f>
        <v>0</v>
      </c>
      <c r="M93" s="92">
        <f>IF(AND(B93&lt;&gt;"",N(Calcul!L61)&gt;0),(Calcul!I61*E93+N(Calcul!J61)*F93+IF(Calcul!K61="",Calcul!I61,Calcul!K61)*G93+N(Calcul!L61)*H93)/1000000,0)</f>
        <v>0</v>
      </c>
      <c r="N93" s="93" t="str">
        <f>IF(K93&gt;0,I93/K93,"")</f>
        <v/>
      </c>
      <c r="O93" s="93" t="str">
        <f>IF(L93&gt;0,I93/L93,"")</f>
        <v/>
      </c>
      <c r="P93" s="93" t="str">
        <f>IF(M93&gt;0,I93/M93,"")</f>
        <v/>
      </c>
      <c r="Q93" s="89" t="str">
        <f>IF(B93="","",Calcul!E61)</f>
        <v>Inclusive</v>
      </c>
      <c r="R93" s="92">
        <f>IF(AND(B93&lt;&gt;"",N(Calcul!L61)&gt;0),(Calcul!I61*(E93-Calcul!G61*F93-Calcul!H61*G93)+N(Calcul!J61)*F93+IF(Calcul!K61="",Calcul!I61,Calcul!K61)*G93+N(Calcul!L61)*H93)/1000000,0)</f>
        <v>0</v>
      </c>
      <c r="S93" s="93" t="str">
        <f>IF(R93&gt;0,I93/R93,"")</f>
        <v/>
      </c>
      <c r="T93" s="89" t="str">
        <f>IF(OR(B93="",D93=0),"",IF(S93="","Sans tarif",IF(AND(S93&gt;=0.895,S93&lt;=1.005),"✓ Cohérent","⚠ Hors plage")))</f>
        <v/>
      </c>
      <c r="U93" s="89" t="str">
        <f>IF(B93="","",IFERROR(INDEX(K_FamDec,MATCH(C93,K_FamNom,0)),""))</f>
        <v/>
      </c>
    </row>
    <row r="94">
      <c r="B94" s="89" t="str">
        <f>IF(Calcul!B62="","",Calcul!B62)</f>
        <v>Grok 4.6</v>
      </c>
      <c r="C94" s="89" t="str">
        <f>IF(B94="","",Calcul!C62)</f>
        <v>xAI Grok</v>
      </c>
      <c r="D94" s="90">
        <f>IF(B94="",0,COUNTIF(D_Cle,B94))</f>
        <v>0</v>
      </c>
      <c r="E94" s="91">
        <f>IF(B94="",0,SUMIF(D_Cle,B94,D_I))</f>
        <v>0</v>
      </c>
      <c r="F94" s="91">
        <f>IF(B94="",0,SUMIF(D_Cle,B94,D_CR))</f>
        <v>0</v>
      </c>
      <c r="G94" s="91">
        <f>IF(B94="",0,SUMIF(D_Cle,B94,D_CW))</f>
        <v>0</v>
      </c>
      <c r="H94" s="91">
        <f>IF(B94="",0,SUMIF(D_Cle,B94,D_O))</f>
        <v>0</v>
      </c>
      <c r="I94" s="92">
        <f>IF(B94="",0,SUMIF(D_Cle,B94,D_Brut))</f>
        <v>0</v>
      </c>
      <c r="J94" s="90">
        <f>IF(B94="",0,SUMIF(D_Cle,B94,D_C2))</f>
        <v>0</v>
      </c>
      <c r="K94" s="92">
        <f>IF(AND(B94&lt;&gt;"",N(Calcul!L62)&gt;0),(Calcul!I62*(E94-F94-G94)+N(Calcul!J62)*F94+IF(Calcul!K62="",Calcul!I62,Calcul!K62)*G94+N(Calcul!L62)*H94)/1000000,0)</f>
        <v>0</v>
      </c>
      <c r="L94" s="92">
        <f>IF(AND(B94&lt;&gt;"",N(Calcul!L62)&gt;0),(Calcul!I62*(E94-F94)+N(Calcul!J62)*F94+IF(Calcul!K62="",Calcul!I62,Calcul!K62)*G94+N(Calcul!L62)*H94)/1000000,0)</f>
        <v>0</v>
      </c>
      <c r="M94" s="92">
        <f>IF(AND(B94&lt;&gt;"",N(Calcul!L62)&gt;0),(Calcul!I62*E94+N(Calcul!J62)*F94+IF(Calcul!K62="",Calcul!I62,Calcul!K62)*G94+N(Calcul!L62)*H94)/1000000,0)</f>
        <v>0</v>
      </c>
      <c r="N94" s="93" t="str">
        <f>IF(K94&gt;0,I94/K94,"")</f>
        <v/>
      </c>
      <c r="O94" s="93" t="str">
        <f>IF(L94&gt;0,I94/L94,"")</f>
        <v/>
      </c>
      <c r="P94" s="93" t="str">
        <f>IF(M94&gt;0,I94/M94,"")</f>
        <v/>
      </c>
      <c r="Q94" s="89" t="str">
        <f>IF(B94="","",Calcul!E62)</f>
        <v>Inclusive</v>
      </c>
      <c r="R94" s="92">
        <f>IF(AND(B94&lt;&gt;"",N(Calcul!L62)&gt;0),(Calcul!I62*(E94-Calcul!G62*F94-Calcul!H62*G94)+N(Calcul!J62)*F94+IF(Calcul!K62="",Calcul!I62,Calcul!K62)*G94+N(Calcul!L62)*H94)/1000000,0)</f>
        <v>0</v>
      </c>
      <c r="S94" s="93" t="str">
        <f>IF(R94&gt;0,I94/R94,"")</f>
        <v/>
      </c>
      <c r="T94" s="89" t="str">
        <f>IF(OR(B94="",D94=0),"",IF(S94="","Sans tarif",IF(AND(S94&gt;=0.895,S94&lt;=1.005),"✓ Cohérent","⚠ Hors plage")))</f>
        <v/>
      </c>
      <c r="U94" s="89" t="str">
        <f>IF(B94="","",IFERROR(INDEX(K_FamDec,MATCH(C94,K_FamNom,0)),""))</f>
        <v/>
      </c>
    </row>
    <row r="95">
      <c r="B95" s="89" t="str">
        <f>IF(Calcul!B63="","",Calcul!B63)</f>
        <v>Grok 4.7</v>
      </c>
      <c r="C95" s="89" t="str">
        <f>IF(B95="","",Calcul!C63)</f>
        <v>xAI Grok</v>
      </c>
      <c r="D95" s="90">
        <f>IF(B95="",0,COUNTIF(D_Cle,B95))</f>
        <v>0</v>
      </c>
      <c r="E95" s="91">
        <f>IF(B95="",0,SUMIF(D_Cle,B95,D_I))</f>
        <v>0</v>
      </c>
      <c r="F95" s="91">
        <f>IF(B95="",0,SUMIF(D_Cle,B95,D_CR))</f>
        <v>0</v>
      </c>
      <c r="G95" s="91">
        <f>IF(B95="",0,SUMIF(D_Cle,B95,D_CW))</f>
        <v>0</v>
      </c>
      <c r="H95" s="91">
        <f>IF(B95="",0,SUMIF(D_Cle,B95,D_O))</f>
        <v>0</v>
      </c>
      <c r="I95" s="92">
        <f>IF(B95="",0,SUMIF(D_Cle,B95,D_Brut))</f>
        <v>0</v>
      </c>
      <c r="J95" s="90">
        <f>IF(B95="",0,SUMIF(D_Cle,B95,D_C2))</f>
        <v>0</v>
      </c>
      <c r="K95" s="92">
        <f>IF(AND(B95&lt;&gt;"",N(Calcul!L63)&gt;0),(Calcul!I63*(E95-F95-G95)+N(Calcul!J63)*F95+IF(Calcul!K63="",Calcul!I63,Calcul!K63)*G95+N(Calcul!L63)*H95)/1000000,0)</f>
        <v>0</v>
      </c>
      <c r="L95" s="92">
        <f>IF(AND(B95&lt;&gt;"",N(Calcul!L63)&gt;0),(Calcul!I63*(E95-F95)+N(Calcul!J63)*F95+IF(Calcul!K63="",Calcul!I63,Calcul!K63)*G95+N(Calcul!L63)*H95)/1000000,0)</f>
        <v>0</v>
      </c>
      <c r="M95" s="92">
        <f>IF(AND(B95&lt;&gt;"",N(Calcul!L63)&gt;0),(Calcul!I63*E95+N(Calcul!J63)*F95+IF(Calcul!K63="",Calcul!I63,Calcul!K63)*G95+N(Calcul!L63)*H95)/1000000,0)</f>
        <v>0</v>
      </c>
      <c r="N95" s="93" t="str">
        <f>IF(K95&gt;0,I95/K95,"")</f>
        <v/>
      </c>
      <c r="O95" s="93" t="str">
        <f>IF(L95&gt;0,I95/L95,"")</f>
        <v/>
      </c>
      <c r="P95" s="93" t="str">
        <f>IF(M95&gt;0,I95/M95,"")</f>
        <v/>
      </c>
      <c r="Q95" s="89" t="str">
        <f>IF(B95="","",Calcul!E63)</f>
        <v>Inclusive</v>
      </c>
      <c r="R95" s="92">
        <f>IF(AND(B95&lt;&gt;"",N(Calcul!L63)&gt;0),(Calcul!I63*(E95-Calcul!G63*F95-Calcul!H63*G95)+N(Calcul!J63)*F95+IF(Calcul!K63="",Calcul!I63,Calcul!K63)*G95+N(Calcul!L63)*H95)/1000000,0)</f>
        <v>0</v>
      </c>
      <c r="S95" s="93" t="str">
        <f>IF(R95&gt;0,I95/R95,"")</f>
        <v/>
      </c>
      <c r="T95" s="89" t="str">
        <f>IF(OR(B95="",D95=0),"",IF(S95="","Sans tarif",IF(AND(S95&gt;=0.895,S95&lt;=1.005),"✓ Cohérent","⚠ Hors plage")))</f>
        <v/>
      </c>
      <c r="U95" s="89" t="str">
        <f>IF(B95="","",IFERROR(INDEX(K_FamDec,MATCH(C95,K_FamNom,0)),""))</f>
        <v/>
      </c>
    </row>
    <row r="96">
      <c r="B96" s="89" t="str">
        <f>IF(Calcul!B64="","",Calcul!B64)</f>
        <v>Kimi K3</v>
      </c>
      <c r="C96" s="89" t="str">
        <f>IF(B96="","",Calcul!C64)</f>
        <v>Moonshot Kimi</v>
      </c>
      <c r="D96" s="90">
        <f>IF(B96="",0,COUNTIF(D_Cle,B96))</f>
        <v>0</v>
      </c>
      <c r="E96" s="91">
        <f>IF(B96="",0,SUMIF(D_Cle,B96,D_I))</f>
        <v>0</v>
      </c>
      <c r="F96" s="91">
        <f>IF(B96="",0,SUMIF(D_Cle,B96,D_CR))</f>
        <v>0</v>
      </c>
      <c r="G96" s="91">
        <f>IF(B96="",0,SUMIF(D_Cle,B96,D_CW))</f>
        <v>0</v>
      </c>
      <c r="H96" s="91">
        <f>IF(B96="",0,SUMIF(D_Cle,B96,D_O))</f>
        <v>0</v>
      </c>
      <c r="I96" s="92">
        <f>IF(B96="",0,SUMIF(D_Cle,B96,D_Brut))</f>
        <v>0</v>
      </c>
      <c r="J96" s="90">
        <f>IF(B96="",0,SUMIF(D_Cle,B96,D_C2))</f>
        <v>0</v>
      </c>
      <c r="K96" s="92">
        <f>IF(AND(B96&lt;&gt;"",N(Calcul!L64)&gt;0),(Calcul!I64*(E96-F96-G96)+N(Calcul!J64)*F96+IF(Calcul!K64="",Calcul!I64,Calcul!K64)*G96+N(Calcul!L64)*H96)/1000000,0)</f>
        <v>0</v>
      </c>
      <c r="L96" s="92">
        <f>IF(AND(B96&lt;&gt;"",N(Calcul!L64)&gt;0),(Calcul!I64*(E96-F96)+N(Calcul!J64)*F96+IF(Calcul!K64="",Calcul!I64,Calcul!K64)*G96+N(Calcul!L64)*H96)/1000000,0)</f>
        <v>0</v>
      </c>
      <c r="M96" s="92">
        <f>IF(AND(B96&lt;&gt;"",N(Calcul!L64)&gt;0),(Calcul!I64*E96+N(Calcul!J64)*F96+IF(Calcul!K64="",Calcul!I64,Calcul!K64)*G96+N(Calcul!L64)*H96)/1000000,0)</f>
        <v>0</v>
      </c>
      <c r="N96" s="93" t="str">
        <f>IF(K96&gt;0,I96/K96,"")</f>
        <v/>
      </c>
      <c r="O96" s="93" t="str">
        <f>IF(L96&gt;0,I96/L96,"")</f>
        <v/>
      </c>
      <c r="P96" s="93" t="str">
        <f>IF(M96&gt;0,I96/M96,"")</f>
        <v/>
      </c>
      <c r="Q96" s="89" t="str">
        <f>IF(B96="","",Calcul!E64)</f>
        <v>Inclusive</v>
      </c>
      <c r="R96" s="92">
        <f>IF(AND(B96&lt;&gt;"",N(Calcul!L64)&gt;0),(Calcul!I64*(E96-Calcul!G64*F96-Calcul!H64*G96)+N(Calcul!J64)*F96+IF(Calcul!K64="",Calcul!I64,Calcul!K64)*G96+N(Calcul!L64)*H96)/1000000,0)</f>
        <v>0</v>
      </c>
      <c r="S96" s="93" t="str">
        <f>IF(R96&gt;0,I96/R96,"")</f>
        <v/>
      </c>
      <c r="T96" s="89" t="str">
        <f>IF(OR(B96="",D96=0),"",IF(S96="","Sans tarif",IF(AND(S96&gt;=0.895,S96&lt;=1.005),"✓ Cohérent","⚠ Hors plage")))</f>
        <v/>
      </c>
      <c r="U96" s="89" t="str">
        <f>IF(B96="","",IFERROR(INDEX(K_FamDec,MATCH(C96,K_FamNom,0)),""))</f>
        <v/>
      </c>
    </row>
    <row r="97">
      <c r="B97" s="89" t="str">
        <f>IF(Calcul!B65="","",Calcul!B65)</f>
        <v>Claude Opus 4.5</v>
      </c>
      <c r="C97" s="89" t="str">
        <f>IF(B97="","",Calcul!C65)</f>
        <v>Anthropic</v>
      </c>
      <c r="D97" s="90">
        <f>IF(B97="",0,COUNTIF(D_Cle,B97))</f>
        <v>0</v>
      </c>
      <c r="E97" s="91">
        <f>IF(B97="",0,SUMIF(D_Cle,B97,D_I))</f>
        <v>0</v>
      </c>
      <c r="F97" s="91">
        <f>IF(B97="",0,SUMIF(D_Cle,B97,D_CR))</f>
        <v>0</v>
      </c>
      <c r="G97" s="91">
        <f>IF(B97="",0,SUMIF(D_Cle,B97,D_CW))</f>
        <v>0</v>
      </c>
      <c r="H97" s="91">
        <f>IF(B97="",0,SUMIF(D_Cle,B97,D_O))</f>
        <v>0</v>
      </c>
      <c r="I97" s="92">
        <f>IF(B97="",0,SUMIF(D_Cle,B97,D_Brut))</f>
        <v>0</v>
      </c>
      <c r="J97" s="90">
        <f>IF(B97="",0,SUMIF(D_Cle,B97,D_C2))</f>
        <v>0</v>
      </c>
      <c r="K97" s="92">
        <f>IF(AND(B97&lt;&gt;"",N(Calcul!L65)&gt;0),(Calcul!I65*(E97-F97-G97)+N(Calcul!J65)*F97+IF(Calcul!K65="",Calcul!I65,Calcul!K65)*G97+N(Calcul!L65)*H97)/1000000,0)</f>
        <v>0</v>
      </c>
      <c r="L97" s="92">
        <f>IF(AND(B97&lt;&gt;"",N(Calcul!L65)&gt;0),(Calcul!I65*(E97-F97)+N(Calcul!J65)*F97+IF(Calcul!K65="",Calcul!I65,Calcul!K65)*G97+N(Calcul!L65)*H97)/1000000,0)</f>
        <v>0</v>
      </c>
      <c r="M97" s="92">
        <f>IF(AND(B97&lt;&gt;"",N(Calcul!L65)&gt;0),(Calcul!I65*E97+N(Calcul!J65)*F97+IF(Calcul!K65="",Calcul!I65,Calcul!K65)*G97+N(Calcul!L65)*H97)/1000000,0)</f>
        <v>0</v>
      </c>
      <c r="N97" s="93" t="str">
        <f>IF(K97&gt;0,I97/K97,"")</f>
        <v/>
      </c>
      <c r="O97" s="93" t="str">
        <f>IF(L97&gt;0,I97/L97,"")</f>
        <v/>
      </c>
      <c r="P97" s="93" t="str">
        <f>IF(M97&gt;0,I97/M97,"")</f>
        <v/>
      </c>
      <c r="Q97" s="89" t="str">
        <f>IF(B97="","",Calcul!E65)</f>
        <v>Exclusive</v>
      </c>
      <c r="R97" s="92">
        <f>IF(AND(B97&lt;&gt;"",N(Calcul!L65)&gt;0),(Calcul!I65*(E97-Calcul!G65*F97-Calcul!H65*G97)+N(Calcul!J65)*F97+IF(Calcul!K65="",Calcul!I65,Calcul!K65)*G97+N(Calcul!L65)*H97)/1000000,0)</f>
        <v>0</v>
      </c>
      <c r="S97" s="93" t="str">
        <f>IF(R97&gt;0,I97/R97,"")</f>
        <v/>
      </c>
      <c r="T97" s="89" t="str">
        <f>IF(OR(B97="",D97=0),"",IF(S97="","Sans tarif",IF(AND(S97&gt;=0.895,S97&lt;=1.005),"✓ Cohérent","⚠ Hors plage")))</f>
        <v/>
      </c>
      <c r="U97" s="89" t="str">
        <f>IF(B97="","",IFERROR(INDEX(K_FamDec,MATCH(C97,K_FamNom,0)),""))</f>
        <v/>
      </c>
    </row>
    <row r="98">
      <c r="B98" s="89" t="str">
        <f>IF(Calcul!B66="","",Calcul!B66)</f>
        <v>Claude Opus 4.6</v>
      </c>
      <c r="C98" s="89" t="str">
        <f>IF(B98="","",Calcul!C66)</f>
        <v>Anthropic</v>
      </c>
      <c r="D98" s="90">
        <f>IF(B98="",0,COUNTIF(D_Cle,B98))</f>
        <v>0</v>
      </c>
      <c r="E98" s="91">
        <f>IF(B98="",0,SUMIF(D_Cle,B98,D_I))</f>
        <v>0</v>
      </c>
      <c r="F98" s="91">
        <f>IF(B98="",0,SUMIF(D_Cle,B98,D_CR))</f>
        <v>0</v>
      </c>
      <c r="G98" s="91">
        <f>IF(B98="",0,SUMIF(D_Cle,B98,D_CW))</f>
        <v>0</v>
      </c>
      <c r="H98" s="91">
        <f>IF(B98="",0,SUMIF(D_Cle,B98,D_O))</f>
        <v>0</v>
      </c>
      <c r="I98" s="92">
        <f>IF(B98="",0,SUMIF(D_Cle,B98,D_Brut))</f>
        <v>0</v>
      </c>
      <c r="J98" s="90">
        <f>IF(B98="",0,SUMIF(D_Cle,B98,D_C2))</f>
        <v>0</v>
      </c>
      <c r="K98" s="92">
        <f>IF(AND(B98&lt;&gt;"",N(Calcul!L66)&gt;0),(Calcul!I66*(E98-F98-G98)+N(Calcul!J66)*F98+IF(Calcul!K66="",Calcul!I66,Calcul!K66)*G98+N(Calcul!L66)*H98)/1000000,0)</f>
        <v>0</v>
      </c>
      <c r="L98" s="92">
        <f>IF(AND(B98&lt;&gt;"",N(Calcul!L66)&gt;0),(Calcul!I66*(E98-F98)+N(Calcul!J66)*F98+IF(Calcul!K66="",Calcul!I66,Calcul!K66)*G98+N(Calcul!L66)*H98)/1000000,0)</f>
        <v>0</v>
      </c>
      <c r="M98" s="92">
        <f>IF(AND(B98&lt;&gt;"",N(Calcul!L66)&gt;0),(Calcul!I66*E98+N(Calcul!J66)*F98+IF(Calcul!K66="",Calcul!I66,Calcul!K66)*G98+N(Calcul!L66)*H98)/1000000,0)</f>
        <v>0</v>
      </c>
      <c r="N98" s="93" t="str">
        <f>IF(K98&gt;0,I98/K98,"")</f>
        <v/>
      </c>
      <c r="O98" s="93" t="str">
        <f>IF(L98&gt;0,I98/L98,"")</f>
        <v/>
      </c>
      <c r="P98" s="93" t="str">
        <f>IF(M98&gt;0,I98/M98,"")</f>
        <v/>
      </c>
      <c r="Q98" s="89" t="str">
        <f>IF(B98="","",Calcul!E66)</f>
        <v>Exclusive</v>
      </c>
      <c r="R98" s="92">
        <f>IF(AND(B98&lt;&gt;"",N(Calcul!L66)&gt;0),(Calcul!I66*(E98-Calcul!G66*F98-Calcul!H66*G98)+N(Calcul!J66)*F98+IF(Calcul!K66="",Calcul!I66,Calcul!K66)*G98+N(Calcul!L66)*H98)/1000000,0)</f>
        <v>0</v>
      </c>
      <c r="S98" s="93" t="str">
        <f>IF(R98&gt;0,I98/R98,"")</f>
        <v/>
      </c>
      <c r="T98" s="89" t="str">
        <f>IF(OR(B98="",D98=0),"",IF(S98="","Sans tarif",IF(AND(S98&gt;=0.895,S98&lt;=1.005),"✓ Cohérent","⚠ Hors plage")))</f>
        <v/>
      </c>
      <c r="U98" s="89" t="str">
        <f>IF(B98="","",IFERROR(INDEX(K_FamDec,MATCH(C98,K_FamNom,0)),""))</f>
        <v/>
      </c>
    </row>
    <row r="99">
      <c r="B99" s="89" t="str">
        <f>IF(Calcul!B67="","",Calcul!B67)</f>
        <v>Claude Opus 4.7</v>
      </c>
      <c r="C99" s="89" t="str">
        <f>IF(B99="","",Calcul!C67)</f>
        <v>Anthropic</v>
      </c>
      <c r="D99" s="90">
        <f>IF(B99="",0,COUNTIF(D_Cle,B99))</f>
        <v>0</v>
      </c>
      <c r="E99" s="91">
        <f>IF(B99="",0,SUMIF(D_Cle,B99,D_I))</f>
        <v>0</v>
      </c>
      <c r="F99" s="91">
        <f>IF(B99="",0,SUMIF(D_Cle,B99,D_CR))</f>
        <v>0</v>
      </c>
      <c r="G99" s="91">
        <f>IF(B99="",0,SUMIF(D_Cle,B99,D_CW))</f>
        <v>0</v>
      </c>
      <c r="H99" s="91">
        <f>IF(B99="",0,SUMIF(D_Cle,B99,D_O))</f>
        <v>0</v>
      </c>
      <c r="I99" s="92">
        <f>IF(B99="",0,SUMIF(D_Cle,B99,D_Brut))</f>
        <v>0</v>
      </c>
      <c r="J99" s="90">
        <f>IF(B99="",0,SUMIF(D_Cle,B99,D_C2))</f>
        <v>0</v>
      </c>
      <c r="K99" s="92">
        <f>IF(AND(B99&lt;&gt;"",N(Calcul!L67)&gt;0),(Calcul!I67*(E99-F99-G99)+N(Calcul!J67)*F99+IF(Calcul!K67="",Calcul!I67,Calcul!K67)*G99+N(Calcul!L67)*H99)/1000000,0)</f>
        <v>0</v>
      </c>
      <c r="L99" s="92">
        <f>IF(AND(B99&lt;&gt;"",N(Calcul!L67)&gt;0),(Calcul!I67*(E99-F99)+N(Calcul!J67)*F99+IF(Calcul!K67="",Calcul!I67,Calcul!K67)*G99+N(Calcul!L67)*H99)/1000000,0)</f>
        <v>0</v>
      </c>
      <c r="M99" s="92">
        <f>IF(AND(B99&lt;&gt;"",N(Calcul!L67)&gt;0),(Calcul!I67*E99+N(Calcul!J67)*F99+IF(Calcul!K67="",Calcul!I67,Calcul!K67)*G99+N(Calcul!L67)*H99)/1000000,0)</f>
        <v>0</v>
      </c>
      <c r="N99" s="93" t="str">
        <f>IF(K99&gt;0,I99/K99,"")</f>
        <v/>
      </c>
      <c r="O99" s="93" t="str">
        <f>IF(L99&gt;0,I99/L99,"")</f>
        <v/>
      </c>
      <c r="P99" s="93" t="str">
        <f>IF(M99&gt;0,I99/M99,"")</f>
        <v/>
      </c>
      <c r="Q99" s="89" t="str">
        <f>IF(B99="","",Calcul!E67)</f>
        <v>Exclusive</v>
      </c>
      <c r="R99" s="92">
        <f>IF(AND(B99&lt;&gt;"",N(Calcul!L67)&gt;0),(Calcul!I67*(E99-Calcul!G67*F99-Calcul!H67*G99)+N(Calcul!J67)*F99+IF(Calcul!K67="",Calcul!I67,Calcul!K67)*G99+N(Calcul!L67)*H99)/1000000,0)</f>
        <v>0</v>
      </c>
      <c r="S99" s="93" t="str">
        <f>IF(R99&gt;0,I99/R99,"")</f>
        <v/>
      </c>
      <c r="T99" s="89" t="str">
        <f>IF(OR(B99="",D99=0),"",IF(S99="","Sans tarif",IF(AND(S99&gt;=0.895,S99&lt;=1.005),"✓ Cohérent","⚠ Hors plage")))</f>
        <v/>
      </c>
      <c r="U99" s="89" t="str">
        <f>IF(B99="","",IFERROR(INDEX(K_FamDec,MATCH(C99,K_FamNom,0)),""))</f>
        <v/>
      </c>
    </row>
    <row r="100">
      <c r="B100" s="89" t="str">
        <f>IF(Calcul!B68="","",Calcul!B68)</f>
        <v>Claude Sonnet 4.5</v>
      </c>
      <c r="C100" s="89" t="str">
        <f>IF(B100="","",Calcul!C68)</f>
        <v>Anthropic</v>
      </c>
      <c r="D100" s="90">
        <f>IF(B100="",0,COUNTIF(D_Cle,B100))</f>
        <v>0</v>
      </c>
      <c r="E100" s="91">
        <f>IF(B100="",0,SUMIF(D_Cle,B100,D_I))</f>
        <v>0</v>
      </c>
      <c r="F100" s="91">
        <f>IF(B100="",0,SUMIF(D_Cle,B100,D_CR))</f>
        <v>0</v>
      </c>
      <c r="G100" s="91">
        <f>IF(B100="",0,SUMIF(D_Cle,B100,D_CW))</f>
        <v>0</v>
      </c>
      <c r="H100" s="91">
        <f>IF(B100="",0,SUMIF(D_Cle,B100,D_O))</f>
        <v>0</v>
      </c>
      <c r="I100" s="92">
        <f>IF(B100="",0,SUMIF(D_Cle,B100,D_Brut))</f>
        <v>0</v>
      </c>
      <c r="J100" s="90">
        <f>IF(B100="",0,SUMIF(D_Cle,B100,D_C2))</f>
        <v>0</v>
      </c>
      <c r="K100" s="92">
        <f>IF(AND(B100&lt;&gt;"",N(Calcul!L68)&gt;0),(Calcul!I68*(E100-F100-G100)+N(Calcul!J68)*F100+IF(Calcul!K68="",Calcul!I68,Calcul!K68)*G100+N(Calcul!L68)*H100)/1000000,0)</f>
        <v>0</v>
      </c>
      <c r="L100" s="92">
        <f>IF(AND(B100&lt;&gt;"",N(Calcul!L68)&gt;0),(Calcul!I68*(E100-F100)+N(Calcul!J68)*F100+IF(Calcul!K68="",Calcul!I68,Calcul!K68)*G100+N(Calcul!L68)*H100)/1000000,0)</f>
        <v>0</v>
      </c>
      <c r="M100" s="92">
        <f>IF(AND(B100&lt;&gt;"",N(Calcul!L68)&gt;0),(Calcul!I68*E100+N(Calcul!J68)*F100+IF(Calcul!K68="",Calcul!I68,Calcul!K68)*G100+N(Calcul!L68)*H100)/1000000,0)</f>
        <v>0</v>
      </c>
      <c r="N100" s="93" t="str">
        <f>IF(K100&gt;0,I100/K100,"")</f>
        <v/>
      </c>
      <c r="O100" s="93" t="str">
        <f>IF(L100&gt;0,I100/L100,"")</f>
        <v/>
      </c>
      <c r="P100" s="93" t="str">
        <f>IF(M100&gt;0,I100/M100,"")</f>
        <v/>
      </c>
      <c r="Q100" s="89" t="str">
        <f>IF(B100="","",Calcul!E68)</f>
        <v>Exclusive</v>
      </c>
      <c r="R100" s="92">
        <f>IF(AND(B100&lt;&gt;"",N(Calcul!L68)&gt;0),(Calcul!I68*(E100-Calcul!G68*F100-Calcul!H68*G100)+N(Calcul!J68)*F100+IF(Calcul!K68="",Calcul!I68,Calcul!K68)*G100+N(Calcul!L68)*H100)/1000000,0)</f>
        <v>0</v>
      </c>
      <c r="S100" s="93" t="str">
        <f>IF(R100&gt;0,I100/R100,"")</f>
        <v/>
      </c>
      <c r="T100" s="89" t="str">
        <f>IF(OR(B100="",D100=0),"",IF(S100="","Sans tarif",IF(AND(S100&gt;=0.895,S100&lt;=1.005),"✓ Cohérent","⚠ Hors plage")))</f>
        <v/>
      </c>
      <c r="U100" s="89" t="str">
        <f>IF(B100="","",IFERROR(INDEX(K_FamDec,MATCH(C100,K_FamNom,0)),""))</f>
        <v/>
      </c>
    </row>
    <row r="101">
      <c r="B101" s="89" t="str">
        <f>IF(Calcul!B69="","",Calcul!B69)</f>
        <v>Gemini 2.5 Flash</v>
      </c>
      <c r="C101" s="89" t="str">
        <f>IF(B101="","",Calcul!C69)</f>
        <v>Hors grille</v>
      </c>
      <c r="D101" s="90">
        <f>IF(B101="",0,COUNTIF(D_Cle,B101))</f>
        <v>0</v>
      </c>
      <c r="E101" s="91">
        <f>IF(B101="",0,SUMIF(D_Cle,B101,D_I))</f>
        <v>0</v>
      </c>
      <c r="F101" s="91">
        <f>IF(B101="",0,SUMIF(D_Cle,B101,D_CR))</f>
        <v>0</v>
      </c>
      <c r="G101" s="91">
        <f>IF(B101="",0,SUMIF(D_Cle,B101,D_CW))</f>
        <v>0</v>
      </c>
      <c r="H101" s="91">
        <f>IF(B101="",0,SUMIF(D_Cle,B101,D_O))</f>
        <v>0</v>
      </c>
      <c r="I101" s="92">
        <f>IF(B101="",0,SUMIF(D_Cle,B101,D_Brut))</f>
        <v>0</v>
      </c>
      <c r="J101" s="90">
        <f>IF(B101="",0,SUMIF(D_Cle,B101,D_C2))</f>
        <v>0</v>
      </c>
      <c r="K101" s="92">
        <f>IF(AND(B101&lt;&gt;"",N(Calcul!L69)&gt;0),(Calcul!I69*(E101-F101-G101)+N(Calcul!J69)*F101+IF(Calcul!K69="",Calcul!I69,Calcul!K69)*G101+N(Calcul!L69)*H101)/1000000,0)</f>
        <v>0</v>
      </c>
      <c r="L101" s="92">
        <f>IF(AND(B101&lt;&gt;"",N(Calcul!L69)&gt;0),(Calcul!I69*(E101-F101)+N(Calcul!J69)*F101+IF(Calcul!K69="",Calcul!I69,Calcul!K69)*G101+N(Calcul!L69)*H101)/1000000,0)</f>
        <v>0</v>
      </c>
      <c r="M101" s="92">
        <f>IF(AND(B101&lt;&gt;"",N(Calcul!L69)&gt;0),(Calcul!I69*E101+N(Calcul!J69)*F101+IF(Calcul!K69="",Calcul!I69,Calcul!K69)*G101+N(Calcul!L69)*H101)/1000000,0)</f>
        <v>0</v>
      </c>
      <c r="N101" s="93" t="str">
        <f>IF(K101&gt;0,I101/K101,"")</f>
        <v/>
      </c>
      <c r="O101" s="93" t="str">
        <f>IF(L101&gt;0,I101/L101,"")</f>
        <v/>
      </c>
      <c r="P101" s="93" t="str">
        <f>IF(M101&gt;0,I101/M101,"")</f>
        <v/>
      </c>
      <c r="Q101" s="89" t="str">
        <f>IF(B101="","",Calcul!E69)</f>
        <v>Inclusive</v>
      </c>
      <c r="R101" s="92">
        <f>IF(AND(B101&lt;&gt;"",N(Calcul!L69)&gt;0),(Calcul!I69*(E101-Calcul!G69*F101-Calcul!H69*G101)+N(Calcul!J69)*F101+IF(Calcul!K69="",Calcul!I69,Calcul!K69)*G101+N(Calcul!L69)*H101)/1000000,0)</f>
        <v>0</v>
      </c>
      <c r="S101" s="93" t="str">
        <f>IF(R101&gt;0,I101/R101,"")</f>
        <v/>
      </c>
      <c r="T101" s="89" t="str">
        <f>IF(OR(B101="",D101=0),"",IF(S101="","Sans tarif",IF(AND(S101&gt;=0.895,S101&lt;=1.005),"✓ Cohérent","⚠ Hors plage")))</f>
        <v/>
      </c>
      <c r="U101" s="89" t="str">
        <f>IF(B101="","",IFERROR(INDEX(K_FamDec,MATCH(C101,K_FamNom,0)),""))</f>
        <v/>
      </c>
    </row>
    <row r="102">
      <c r="B102" s="89" t="str">
        <f>IF(Calcul!B70="","",Calcul!B70)</f>
        <v>Gemini 2.5-pro</v>
      </c>
      <c r="C102" s="89" t="str">
        <f>IF(B102="","",Calcul!C70)</f>
        <v>Hors grille</v>
      </c>
      <c r="D102" s="90">
        <f>IF(B102="",0,COUNTIF(D_Cle,B102))</f>
        <v>0</v>
      </c>
      <c r="E102" s="91">
        <f>IF(B102="",0,SUMIF(D_Cle,B102,D_I))</f>
        <v>0</v>
      </c>
      <c r="F102" s="91">
        <f>IF(B102="",0,SUMIF(D_Cle,B102,D_CR))</f>
        <v>0</v>
      </c>
      <c r="G102" s="91">
        <f>IF(B102="",0,SUMIF(D_Cle,B102,D_CW))</f>
        <v>0</v>
      </c>
      <c r="H102" s="91">
        <f>IF(B102="",0,SUMIF(D_Cle,B102,D_O))</f>
        <v>0</v>
      </c>
      <c r="I102" s="92">
        <f>IF(B102="",0,SUMIF(D_Cle,B102,D_Brut))</f>
        <v>0</v>
      </c>
      <c r="J102" s="90">
        <f>IF(B102="",0,SUMIF(D_Cle,B102,D_C2))</f>
        <v>0</v>
      </c>
      <c r="K102" s="92">
        <f>IF(AND(B102&lt;&gt;"",N(Calcul!L70)&gt;0),(Calcul!I70*(E102-F102-G102)+N(Calcul!J70)*F102+IF(Calcul!K70="",Calcul!I70,Calcul!K70)*G102+N(Calcul!L70)*H102)/1000000,0)</f>
        <v>0</v>
      </c>
      <c r="L102" s="92">
        <f>IF(AND(B102&lt;&gt;"",N(Calcul!L70)&gt;0),(Calcul!I70*(E102-F102)+N(Calcul!J70)*F102+IF(Calcul!K70="",Calcul!I70,Calcul!K70)*G102+N(Calcul!L70)*H102)/1000000,0)</f>
        <v>0</v>
      </c>
      <c r="M102" s="92">
        <f>IF(AND(B102&lt;&gt;"",N(Calcul!L70)&gt;0),(Calcul!I70*E102+N(Calcul!J70)*F102+IF(Calcul!K70="",Calcul!I70,Calcul!K70)*G102+N(Calcul!L70)*H102)/1000000,0)</f>
        <v>0</v>
      </c>
      <c r="N102" s="93" t="str">
        <f>IF(K102&gt;0,I102/K102,"")</f>
        <v/>
      </c>
      <c r="O102" s="93" t="str">
        <f>IF(L102&gt;0,I102/L102,"")</f>
        <v/>
      </c>
      <c r="P102" s="93" t="str">
        <f>IF(M102&gt;0,I102/M102,"")</f>
        <v/>
      </c>
      <c r="Q102" s="89" t="str">
        <f>IF(B102="","",Calcul!E70)</f>
        <v>Inclusive</v>
      </c>
      <c r="R102" s="92">
        <f>IF(AND(B102&lt;&gt;"",N(Calcul!L70)&gt;0),(Calcul!I70*(E102-Calcul!G70*F102-Calcul!H70*G102)+N(Calcul!J70)*F102+IF(Calcul!K70="",Calcul!I70,Calcul!K70)*G102+N(Calcul!L70)*H102)/1000000,0)</f>
        <v>0</v>
      </c>
      <c r="S102" s="93" t="str">
        <f>IF(R102&gt;0,I102/R102,"")</f>
        <v/>
      </c>
      <c r="T102" s="89" t="str">
        <f>IF(OR(B102="",D102=0),"",IF(S102="","Sans tarif",IF(AND(S102&gt;=0.895,S102&lt;=1.005),"✓ Cohérent","⚠ Hors plage")))</f>
        <v/>
      </c>
      <c r="U102" s="89" t="str">
        <f>IF(B102="","",IFERROR(INDEX(K_FamDec,MATCH(C102,K_FamNom,0)),""))</f>
        <v/>
      </c>
    </row>
    <row r="103">
      <c r="B103" s="89" t="str">
        <f>IF(Calcul!B71="","",Calcul!B71)</f>
        <v>gemini-2.5-flash-lite</v>
      </c>
      <c r="C103" s="89" t="str">
        <f>IF(B103="","",Calcul!C71)</f>
        <v>Hors grille</v>
      </c>
      <c r="D103" s="90">
        <f>IF(B103="",0,COUNTIF(D_Cle,B103))</f>
        <v>0</v>
      </c>
      <c r="E103" s="91">
        <f>IF(B103="",0,SUMIF(D_Cle,B103,D_I))</f>
        <v>0</v>
      </c>
      <c r="F103" s="91">
        <f>IF(B103="",0,SUMIF(D_Cle,B103,D_CR))</f>
        <v>0</v>
      </c>
      <c r="G103" s="91">
        <f>IF(B103="",0,SUMIF(D_Cle,B103,D_CW))</f>
        <v>0</v>
      </c>
      <c r="H103" s="91">
        <f>IF(B103="",0,SUMIF(D_Cle,B103,D_O))</f>
        <v>0</v>
      </c>
      <c r="I103" s="92">
        <f>IF(B103="",0,SUMIF(D_Cle,B103,D_Brut))</f>
        <v>0</v>
      </c>
      <c r="J103" s="90">
        <f>IF(B103="",0,SUMIF(D_Cle,B103,D_C2))</f>
        <v>0</v>
      </c>
      <c r="K103" s="92">
        <f>IF(AND(B103&lt;&gt;"",N(Calcul!L71)&gt;0),(Calcul!I71*(E103-F103-G103)+N(Calcul!J71)*F103+IF(Calcul!K71="",Calcul!I71,Calcul!K71)*G103+N(Calcul!L71)*H103)/1000000,0)</f>
        <v>0</v>
      </c>
      <c r="L103" s="92">
        <f>IF(AND(B103&lt;&gt;"",N(Calcul!L71)&gt;0),(Calcul!I71*(E103-F103)+N(Calcul!J71)*F103+IF(Calcul!K71="",Calcul!I71,Calcul!K71)*G103+N(Calcul!L71)*H103)/1000000,0)</f>
        <v>0</v>
      </c>
      <c r="M103" s="92">
        <f>IF(AND(B103&lt;&gt;"",N(Calcul!L71)&gt;0),(Calcul!I71*E103+N(Calcul!J71)*F103+IF(Calcul!K71="",Calcul!I71,Calcul!K71)*G103+N(Calcul!L71)*H103)/1000000,0)</f>
        <v>0</v>
      </c>
      <c r="N103" s="93" t="str">
        <f>IF(K103&gt;0,I103/K103,"")</f>
        <v/>
      </c>
      <c r="O103" s="93" t="str">
        <f>IF(L103&gt;0,I103/L103,"")</f>
        <v/>
      </c>
      <c r="P103" s="93" t="str">
        <f>IF(M103&gt;0,I103/M103,"")</f>
        <v/>
      </c>
      <c r="Q103" s="89" t="str">
        <f>IF(B103="","",Calcul!E71)</f>
        <v>Inclusive</v>
      </c>
      <c r="R103" s="92">
        <f>IF(AND(B103&lt;&gt;"",N(Calcul!L71)&gt;0),(Calcul!I71*(E103-Calcul!G71*F103-Calcul!H71*G103)+N(Calcul!J71)*F103+IF(Calcul!K71="",Calcul!I71,Calcul!K71)*G103+N(Calcul!L71)*H103)/1000000,0)</f>
        <v>0</v>
      </c>
      <c r="S103" s="93" t="str">
        <f>IF(R103&gt;0,I103/R103,"")</f>
        <v/>
      </c>
      <c r="T103" s="89" t="str">
        <f>IF(OR(B103="",D103=0),"",IF(S103="","Sans tarif",IF(AND(S103&gt;=0.895,S103&lt;=1.005),"✓ Cohérent","⚠ Hors plage")))</f>
        <v/>
      </c>
      <c r="U103" s="89" t="str">
        <f>IF(B103="","",IFERROR(INDEX(K_FamDec,MATCH(C103,K_FamNom,0)),""))</f>
        <v/>
      </c>
    </row>
    <row r="104">
      <c r="B104" s="89" t="str">
        <f>IF(Calcul!B72="","",Calcul!B72)</f>
        <v>gemini-2.5-flash-tts</v>
      </c>
      <c r="C104" s="89" t="str">
        <f>IF(B104="","",Calcul!C72)</f>
        <v>Hors grille</v>
      </c>
      <c r="D104" s="90">
        <f>IF(B104="",0,COUNTIF(D_Cle,B104))</f>
        <v>0</v>
      </c>
      <c r="E104" s="91">
        <f>IF(B104="",0,SUMIF(D_Cle,B104,D_I))</f>
        <v>0</v>
      </c>
      <c r="F104" s="91">
        <f>IF(B104="",0,SUMIF(D_Cle,B104,D_CR))</f>
        <v>0</v>
      </c>
      <c r="G104" s="91">
        <f>IF(B104="",0,SUMIF(D_Cle,B104,D_CW))</f>
        <v>0</v>
      </c>
      <c r="H104" s="91">
        <f>IF(B104="",0,SUMIF(D_Cle,B104,D_O))</f>
        <v>0</v>
      </c>
      <c r="I104" s="92">
        <f>IF(B104="",0,SUMIF(D_Cle,B104,D_Brut))</f>
        <v>0</v>
      </c>
      <c r="J104" s="90">
        <f>IF(B104="",0,SUMIF(D_Cle,B104,D_C2))</f>
        <v>0</v>
      </c>
      <c r="K104" s="92">
        <f>IF(AND(B104&lt;&gt;"",N(Calcul!L72)&gt;0),(Calcul!I72*(E104-F104-G104)+N(Calcul!J72)*F104+IF(Calcul!K72="",Calcul!I72,Calcul!K72)*G104+N(Calcul!L72)*H104)/1000000,0)</f>
        <v>0</v>
      </c>
      <c r="L104" s="92">
        <f>IF(AND(B104&lt;&gt;"",N(Calcul!L72)&gt;0),(Calcul!I72*(E104-F104)+N(Calcul!J72)*F104+IF(Calcul!K72="",Calcul!I72,Calcul!K72)*G104+N(Calcul!L72)*H104)/1000000,0)</f>
        <v>0</v>
      </c>
      <c r="M104" s="92">
        <f>IF(AND(B104&lt;&gt;"",N(Calcul!L72)&gt;0),(Calcul!I72*E104+N(Calcul!J72)*F104+IF(Calcul!K72="",Calcul!I72,Calcul!K72)*G104+N(Calcul!L72)*H104)/1000000,0)</f>
        <v>0</v>
      </c>
      <c r="N104" s="93" t="str">
        <f>IF(K104&gt;0,I104/K104,"")</f>
        <v/>
      </c>
      <c r="O104" s="93" t="str">
        <f>IF(L104&gt;0,I104/L104,"")</f>
        <v/>
      </c>
      <c r="P104" s="93" t="str">
        <f>IF(M104&gt;0,I104/M104,"")</f>
        <v/>
      </c>
      <c r="Q104" s="89" t="str">
        <f>IF(B104="","",Calcul!E72)</f>
        <v>Inclusive</v>
      </c>
      <c r="R104" s="92">
        <f>IF(AND(B104&lt;&gt;"",N(Calcul!L72)&gt;0),(Calcul!I72*(E104-Calcul!G72*F104-Calcul!H72*G104)+N(Calcul!J72)*F104+IF(Calcul!K72="",Calcul!I72,Calcul!K72)*G104+N(Calcul!L72)*H104)/1000000,0)</f>
        <v>0</v>
      </c>
      <c r="S104" s="93" t="str">
        <f>IF(R104&gt;0,I104/R104,"")</f>
        <v/>
      </c>
      <c r="T104" s="89" t="str">
        <f>IF(OR(B104="",D104=0),"",IF(S104="","Sans tarif",IF(AND(S104&gt;=0.895,S104&lt;=1.005),"✓ Cohérent","⚠ Hors plage")))</f>
        <v/>
      </c>
      <c r="U104" s="89" t="str">
        <f>IF(B104="","",IFERROR(INDEX(K_FamDec,MATCH(C104,K_FamNom,0)),""))</f>
        <v/>
      </c>
    </row>
    <row r="105">
      <c r="B105" s="89" t="str">
        <f>IF(Calcul!B73="","",Calcul!B73)</f>
        <v>gemini-2.5-pro-tts</v>
      </c>
      <c r="C105" s="89" t="str">
        <f>IF(B105="","",Calcul!C73)</f>
        <v>Hors grille</v>
      </c>
      <c r="D105" s="90">
        <f>IF(B105="",0,COUNTIF(D_Cle,B105))</f>
        <v>0</v>
      </c>
      <c r="E105" s="91">
        <f>IF(B105="",0,SUMIF(D_Cle,B105,D_I))</f>
        <v>0</v>
      </c>
      <c r="F105" s="91">
        <f>IF(B105="",0,SUMIF(D_Cle,B105,D_CR))</f>
        <v>0</v>
      </c>
      <c r="G105" s="91">
        <f>IF(B105="",0,SUMIF(D_Cle,B105,D_CW))</f>
        <v>0</v>
      </c>
      <c r="H105" s="91">
        <f>IF(B105="",0,SUMIF(D_Cle,B105,D_O))</f>
        <v>0</v>
      </c>
      <c r="I105" s="92">
        <f>IF(B105="",0,SUMIF(D_Cle,B105,D_Brut))</f>
        <v>0</v>
      </c>
      <c r="J105" s="90">
        <f>IF(B105="",0,SUMIF(D_Cle,B105,D_C2))</f>
        <v>0</v>
      </c>
      <c r="K105" s="92">
        <f>IF(AND(B105&lt;&gt;"",N(Calcul!L73)&gt;0),(Calcul!I73*(E105-F105-G105)+N(Calcul!J73)*F105+IF(Calcul!K73="",Calcul!I73,Calcul!K73)*G105+N(Calcul!L73)*H105)/1000000,0)</f>
        <v>0</v>
      </c>
      <c r="L105" s="92">
        <f>IF(AND(B105&lt;&gt;"",N(Calcul!L73)&gt;0),(Calcul!I73*(E105-F105)+N(Calcul!J73)*F105+IF(Calcul!K73="",Calcul!I73,Calcul!K73)*G105+N(Calcul!L73)*H105)/1000000,0)</f>
        <v>0</v>
      </c>
      <c r="M105" s="92">
        <f>IF(AND(B105&lt;&gt;"",N(Calcul!L73)&gt;0),(Calcul!I73*E105+N(Calcul!J73)*F105+IF(Calcul!K73="",Calcul!I73,Calcul!K73)*G105+N(Calcul!L73)*H105)/1000000,0)</f>
        <v>0</v>
      </c>
      <c r="N105" s="93" t="str">
        <f>IF(K105&gt;0,I105/K105,"")</f>
        <v/>
      </c>
      <c r="O105" s="93" t="str">
        <f>IF(L105&gt;0,I105/L105,"")</f>
        <v/>
      </c>
      <c r="P105" s="93" t="str">
        <f>IF(M105&gt;0,I105/M105,"")</f>
        <v/>
      </c>
      <c r="Q105" s="89" t="str">
        <f>IF(B105="","",Calcul!E73)</f>
        <v>Inclusive</v>
      </c>
      <c r="R105" s="92">
        <f>IF(AND(B105&lt;&gt;"",N(Calcul!L73)&gt;0),(Calcul!I73*(E105-Calcul!G73*F105-Calcul!H73*G105)+N(Calcul!J73)*F105+IF(Calcul!K73="",Calcul!I73,Calcul!K73)*G105+N(Calcul!L73)*H105)/1000000,0)</f>
        <v>0</v>
      </c>
      <c r="S105" s="93" t="str">
        <f>IF(R105&gt;0,I105/R105,"")</f>
        <v/>
      </c>
      <c r="T105" s="89" t="str">
        <f>IF(OR(B105="",D105=0),"",IF(S105="","Sans tarif",IF(AND(S105&gt;=0.895,S105&lt;=1.005),"✓ Cohérent","⚠ Hors plage")))</f>
        <v/>
      </c>
      <c r="U105" s="89" t="str">
        <f>IF(B105="","",IFERROR(INDEX(K_FamDec,MATCH(C105,K_FamNom,0)),""))</f>
        <v/>
      </c>
    </row>
    <row r="106">
      <c r="B106" s="89" t="str">
        <f>IF(Calcul!B74="","",Calcul!B74)</f>
        <v>GPT 4.1</v>
      </c>
      <c r="C106" s="89" t="str">
        <f>IF(B106="","",Calcul!C74)</f>
        <v>Hors grille</v>
      </c>
      <c r="D106" s="90">
        <f>IF(B106="",0,COUNTIF(D_Cle,B106))</f>
        <v>0</v>
      </c>
      <c r="E106" s="91">
        <f>IF(B106="",0,SUMIF(D_Cle,B106,D_I))</f>
        <v>0</v>
      </c>
      <c r="F106" s="91">
        <f>IF(B106="",0,SUMIF(D_Cle,B106,D_CR))</f>
        <v>0</v>
      </c>
      <c r="G106" s="91">
        <f>IF(B106="",0,SUMIF(D_Cle,B106,D_CW))</f>
        <v>0</v>
      </c>
      <c r="H106" s="91">
        <f>IF(B106="",0,SUMIF(D_Cle,B106,D_O))</f>
        <v>0</v>
      </c>
      <c r="I106" s="92">
        <f>IF(B106="",0,SUMIF(D_Cle,B106,D_Brut))</f>
        <v>0</v>
      </c>
      <c r="J106" s="90">
        <f>IF(B106="",0,SUMIF(D_Cle,B106,D_C2))</f>
        <v>0</v>
      </c>
      <c r="K106" s="92">
        <f>IF(AND(B106&lt;&gt;"",N(Calcul!L74)&gt;0),(Calcul!I74*(E106-F106-G106)+N(Calcul!J74)*F106+IF(Calcul!K74="",Calcul!I74,Calcul!K74)*G106+N(Calcul!L74)*H106)/1000000,0)</f>
        <v>0</v>
      </c>
      <c r="L106" s="92">
        <f>IF(AND(B106&lt;&gt;"",N(Calcul!L74)&gt;0),(Calcul!I74*(E106-F106)+N(Calcul!J74)*F106+IF(Calcul!K74="",Calcul!I74,Calcul!K74)*G106+N(Calcul!L74)*H106)/1000000,0)</f>
        <v>0</v>
      </c>
      <c r="M106" s="92">
        <f>IF(AND(B106&lt;&gt;"",N(Calcul!L74)&gt;0),(Calcul!I74*E106+N(Calcul!J74)*F106+IF(Calcul!K74="",Calcul!I74,Calcul!K74)*G106+N(Calcul!L74)*H106)/1000000,0)</f>
        <v>0</v>
      </c>
      <c r="N106" s="93" t="str">
        <f>IF(K106&gt;0,I106/K106,"")</f>
        <v/>
      </c>
      <c r="O106" s="93" t="str">
        <f>IF(L106&gt;0,I106/L106,"")</f>
        <v/>
      </c>
      <c r="P106" s="93" t="str">
        <f>IF(M106&gt;0,I106/M106,"")</f>
        <v/>
      </c>
      <c r="Q106" s="89" t="str">
        <f>IF(B106="","",Calcul!E74)</f>
        <v>Inclusive</v>
      </c>
      <c r="R106" s="92">
        <f>IF(AND(B106&lt;&gt;"",N(Calcul!L74)&gt;0),(Calcul!I74*(E106-Calcul!G74*F106-Calcul!H74*G106)+N(Calcul!J74)*F106+IF(Calcul!K74="",Calcul!I74,Calcul!K74)*G106+N(Calcul!L74)*H106)/1000000,0)</f>
        <v>0</v>
      </c>
      <c r="S106" s="93" t="str">
        <f>IF(R106&gt;0,I106/R106,"")</f>
        <v/>
      </c>
      <c r="T106" s="89" t="str">
        <f>IF(OR(B106="",D106=0),"",IF(S106="","Sans tarif",IF(AND(S106&gt;=0.895,S106&lt;=1.005),"✓ Cohérent","⚠ Hors plage")))</f>
        <v/>
      </c>
      <c r="U106" s="89" t="str">
        <f>IF(B106="","",IFERROR(INDEX(K_FamDec,MATCH(C106,K_FamNom,0)),""))</f>
        <v/>
      </c>
    </row>
    <row r="107">
      <c r="B107" s="89" t="str">
        <f>IF(Calcul!B75="","",Calcul!B75)</f>
        <v>GPT-4.1 mini</v>
      </c>
      <c r="C107" s="89" t="str">
        <f>IF(B107="","",Calcul!C75)</f>
        <v>Hors grille</v>
      </c>
      <c r="D107" s="90">
        <f>IF(B107="",0,COUNTIF(D_Cle,B107))</f>
        <v>0</v>
      </c>
      <c r="E107" s="91">
        <f>IF(B107="",0,SUMIF(D_Cle,B107,D_I))</f>
        <v>0</v>
      </c>
      <c r="F107" s="91">
        <f>IF(B107="",0,SUMIF(D_Cle,B107,D_CR))</f>
        <v>0</v>
      </c>
      <c r="G107" s="91">
        <f>IF(B107="",0,SUMIF(D_Cle,B107,D_CW))</f>
        <v>0</v>
      </c>
      <c r="H107" s="91">
        <f>IF(B107="",0,SUMIF(D_Cle,B107,D_O))</f>
        <v>0</v>
      </c>
      <c r="I107" s="92">
        <f>IF(B107="",0,SUMIF(D_Cle,B107,D_Brut))</f>
        <v>0</v>
      </c>
      <c r="J107" s="90">
        <f>IF(B107="",0,SUMIF(D_Cle,B107,D_C2))</f>
        <v>0</v>
      </c>
      <c r="K107" s="92">
        <f>IF(AND(B107&lt;&gt;"",N(Calcul!L75)&gt;0),(Calcul!I75*(E107-F107-G107)+N(Calcul!J75)*F107+IF(Calcul!K75="",Calcul!I75,Calcul!K75)*G107+N(Calcul!L75)*H107)/1000000,0)</f>
        <v>0</v>
      </c>
      <c r="L107" s="92">
        <f>IF(AND(B107&lt;&gt;"",N(Calcul!L75)&gt;0),(Calcul!I75*(E107-F107)+N(Calcul!J75)*F107+IF(Calcul!K75="",Calcul!I75,Calcul!K75)*G107+N(Calcul!L75)*H107)/1000000,0)</f>
        <v>0</v>
      </c>
      <c r="M107" s="92">
        <f>IF(AND(B107&lt;&gt;"",N(Calcul!L75)&gt;0),(Calcul!I75*E107+N(Calcul!J75)*F107+IF(Calcul!K75="",Calcul!I75,Calcul!K75)*G107+N(Calcul!L75)*H107)/1000000,0)</f>
        <v>0</v>
      </c>
      <c r="N107" s="93" t="str">
        <f>IF(K107&gt;0,I107/K107,"")</f>
        <v/>
      </c>
      <c r="O107" s="93" t="str">
        <f>IF(L107&gt;0,I107/L107,"")</f>
        <v/>
      </c>
      <c r="P107" s="93" t="str">
        <f>IF(M107&gt;0,I107/M107,"")</f>
        <v/>
      </c>
      <c r="Q107" s="89" t="str">
        <f>IF(B107="","",Calcul!E75)</f>
        <v>Inclusive</v>
      </c>
      <c r="R107" s="92">
        <f>IF(AND(B107&lt;&gt;"",N(Calcul!L75)&gt;0),(Calcul!I75*(E107-Calcul!G75*F107-Calcul!H75*G107)+N(Calcul!J75)*F107+IF(Calcul!K75="",Calcul!I75,Calcul!K75)*G107+N(Calcul!L75)*H107)/1000000,0)</f>
        <v>0</v>
      </c>
      <c r="S107" s="93" t="str">
        <f>IF(R107&gt;0,I107/R107,"")</f>
        <v/>
      </c>
      <c r="T107" s="89" t="str">
        <f>IF(OR(B107="",D107=0),"",IF(S107="","Sans tarif",IF(AND(S107&gt;=0.895,S107&lt;=1.005),"✓ Cohérent","⚠ Hors plage")))</f>
        <v/>
      </c>
      <c r="U107" s="89" t="str">
        <f>IF(B107="","",IFERROR(INDEX(K_FamDec,MATCH(C107,K_FamNom,0)),""))</f>
        <v/>
      </c>
    </row>
    <row r="108">
      <c r="B108" s="89" t="str">
        <f>IF(Calcul!B76="","",Calcul!B76)</f>
        <v>GPT-4.1 nano</v>
      </c>
      <c r="C108" s="89" t="str">
        <f>IF(B108="","",Calcul!C76)</f>
        <v>Hors grille</v>
      </c>
      <c r="D108" s="90">
        <f>IF(B108="",0,COUNTIF(D_Cle,B108))</f>
        <v>0</v>
      </c>
      <c r="E108" s="91">
        <f>IF(B108="",0,SUMIF(D_Cle,B108,D_I))</f>
        <v>0</v>
      </c>
      <c r="F108" s="91">
        <f>IF(B108="",0,SUMIF(D_Cle,B108,D_CR))</f>
        <v>0</v>
      </c>
      <c r="G108" s="91">
        <f>IF(B108="",0,SUMIF(D_Cle,B108,D_CW))</f>
        <v>0</v>
      </c>
      <c r="H108" s="91">
        <f>IF(B108="",0,SUMIF(D_Cle,B108,D_O))</f>
        <v>0</v>
      </c>
      <c r="I108" s="92">
        <f>IF(B108="",0,SUMIF(D_Cle,B108,D_Brut))</f>
        <v>0</v>
      </c>
      <c r="J108" s="90">
        <f>IF(B108="",0,SUMIF(D_Cle,B108,D_C2))</f>
        <v>0</v>
      </c>
      <c r="K108" s="92">
        <f>IF(AND(B108&lt;&gt;"",N(Calcul!L76)&gt;0),(Calcul!I76*(E108-F108-G108)+N(Calcul!J76)*F108+IF(Calcul!K76="",Calcul!I76,Calcul!K76)*G108+N(Calcul!L76)*H108)/1000000,0)</f>
        <v>0</v>
      </c>
      <c r="L108" s="92">
        <f>IF(AND(B108&lt;&gt;"",N(Calcul!L76)&gt;0),(Calcul!I76*(E108-F108)+N(Calcul!J76)*F108+IF(Calcul!K76="",Calcul!I76,Calcul!K76)*G108+N(Calcul!L76)*H108)/1000000,0)</f>
        <v>0</v>
      </c>
      <c r="M108" s="92">
        <f>IF(AND(B108&lt;&gt;"",N(Calcul!L76)&gt;0),(Calcul!I76*E108+N(Calcul!J76)*F108+IF(Calcul!K76="",Calcul!I76,Calcul!K76)*G108+N(Calcul!L76)*H108)/1000000,0)</f>
        <v>0</v>
      </c>
      <c r="N108" s="93" t="str">
        <f>IF(K108&gt;0,I108/K108,"")</f>
        <v/>
      </c>
      <c r="O108" s="93" t="str">
        <f>IF(L108&gt;0,I108/L108,"")</f>
        <v/>
      </c>
      <c r="P108" s="93" t="str">
        <f>IF(M108&gt;0,I108/M108,"")</f>
        <v/>
      </c>
      <c r="Q108" s="89" t="str">
        <f>IF(B108="","",Calcul!E76)</f>
        <v>Inclusive</v>
      </c>
      <c r="R108" s="92">
        <f>IF(AND(B108&lt;&gt;"",N(Calcul!L76)&gt;0),(Calcul!I76*(E108-Calcul!G76*F108-Calcul!H76*G108)+N(Calcul!J76)*F108+IF(Calcul!K76="",Calcul!I76,Calcul!K76)*G108+N(Calcul!L76)*H108)/1000000,0)</f>
        <v>0</v>
      </c>
      <c r="S108" s="93" t="str">
        <f>IF(R108&gt;0,I108/R108,"")</f>
        <v/>
      </c>
      <c r="T108" s="89" t="str">
        <f>IF(OR(B108="",D108=0),"",IF(S108="","Sans tarif",IF(AND(S108&gt;=0.895,S108&lt;=1.005),"✓ Cohérent","⚠ Hors plage")))</f>
        <v/>
      </c>
      <c r="U108" s="89" t="str">
        <f>IF(B108="","",IFERROR(INDEX(K_FamDec,MATCH(C108,K_FamNom,0)),""))</f>
        <v/>
      </c>
    </row>
    <row r="109">
      <c r="B109" s="89" t="str">
        <f>IF(Calcul!B77="","",Calcul!B77)</f>
        <v>gpt-4o-2024-11-20</v>
      </c>
      <c r="C109" s="89" t="str">
        <f>IF(B109="","",Calcul!C77)</f>
        <v>Hors grille</v>
      </c>
      <c r="D109" s="90">
        <f>IF(B109="",0,COUNTIF(D_Cle,B109))</f>
        <v>0</v>
      </c>
      <c r="E109" s="91">
        <f>IF(B109="",0,SUMIF(D_Cle,B109,D_I))</f>
        <v>0</v>
      </c>
      <c r="F109" s="91">
        <f>IF(B109="",0,SUMIF(D_Cle,B109,D_CR))</f>
        <v>0</v>
      </c>
      <c r="G109" s="91">
        <f>IF(B109="",0,SUMIF(D_Cle,B109,D_CW))</f>
        <v>0</v>
      </c>
      <c r="H109" s="91">
        <f>IF(B109="",0,SUMIF(D_Cle,B109,D_O))</f>
        <v>0</v>
      </c>
      <c r="I109" s="92">
        <f>IF(B109="",0,SUMIF(D_Cle,B109,D_Brut))</f>
        <v>0</v>
      </c>
      <c r="J109" s="90">
        <f>IF(B109="",0,SUMIF(D_Cle,B109,D_C2))</f>
        <v>0</v>
      </c>
      <c r="K109" s="92">
        <f>IF(AND(B109&lt;&gt;"",N(Calcul!L77)&gt;0),(Calcul!I77*(E109-F109-G109)+N(Calcul!J77)*F109+IF(Calcul!K77="",Calcul!I77,Calcul!K77)*G109+N(Calcul!L77)*H109)/1000000,0)</f>
        <v>0</v>
      </c>
      <c r="L109" s="92">
        <f>IF(AND(B109&lt;&gt;"",N(Calcul!L77)&gt;0),(Calcul!I77*(E109-F109)+N(Calcul!J77)*F109+IF(Calcul!K77="",Calcul!I77,Calcul!K77)*G109+N(Calcul!L77)*H109)/1000000,0)</f>
        <v>0</v>
      </c>
      <c r="M109" s="92">
        <f>IF(AND(B109&lt;&gt;"",N(Calcul!L77)&gt;0),(Calcul!I77*E109+N(Calcul!J77)*F109+IF(Calcul!K77="",Calcul!I77,Calcul!K77)*G109+N(Calcul!L77)*H109)/1000000,0)</f>
        <v>0</v>
      </c>
      <c r="N109" s="93" t="str">
        <f>IF(K109&gt;0,I109/K109,"")</f>
        <v/>
      </c>
      <c r="O109" s="93" t="str">
        <f>IF(L109&gt;0,I109/L109,"")</f>
        <v/>
      </c>
      <c r="P109" s="93" t="str">
        <f>IF(M109&gt;0,I109/M109,"")</f>
        <v/>
      </c>
      <c r="Q109" s="89" t="str">
        <f>IF(B109="","",Calcul!E77)</f>
        <v>Inclusive</v>
      </c>
      <c r="R109" s="92">
        <f>IF(AND(B109&lt;&gt;"",N(Calcul!L77)&gt;0),(Calcul!I77*(E109-Calcul!G77*F109-Calcul!H77*G109)+N(Calcul!J77)*F109+IF(Calcul!K77="",Calcul!I77,Calcul!K77)*G109+N(Calcul!L77)*H109)/1000000,0)</f>
        <v>0</v>
      </c>
      <c r="S109" s="93" t="str">
        <f>IF(R109&gt;0,I109/R109,"")</f>
        <v/>
      </c>
      <c r="T109" s="89" t="str">
        <f>IF(OR(B109="",D109=0),"",IF(S109="","Sans tarif",IF(AND(S109&gt;=0.895,S109&lt;=1.005),"✓ Cohérent","⚠ Hors plage")))</f>
        <v/>
      </c>
      <c r="U109" s="89" t="str">
        <f>IF(B109="","",IFERROR(INDEX(K_FamDec,MATCH(C109,K_FamNom,0)),""))</f>
        <v/>
      </c>
    </row>
    <row r="110">
      <c r="B110" s="89" t="str">
        <f>IF(Calcul!B78="","",Calcul!B78)</f>
        <v>gpt-4o-mini-2024-07-18</v>
      </c>
      <c r="C110" s="89" t="str">
        <f>IF(B110="","",Calcul!C78)</f>
        <v>Hors grille</v>
      </c>
      <c r="D110" s="90">
        <f>IF(B110="",0,COUNTIF(D_Cle,B110))</f>
        <v>0</v>
      </c>
      <c r="E110" s="91">
        <f>IF(B110="",0,SUMIF(D_Cle,B110,D_I))</f>
        <v>0</v>
      </c>
      <c r="F110" s="91">
        <f>IF(B110="",0,SUMIF(D_Cle,B110,D_CR))</f>
        <v>0</v>
      </c>
      <c r="G110" s="91">
        <f>IF(B110="",0,SUMIF(D_Cle,B110,D_CW))</f>
        <v>0</v>
      </c>
      <c r="H110" s="91">
        <f>IF(B110="",0,SUMIF(D_Cle,B110,D_O))</f>
        <v>0</v>
      </c>
      <c r="I110" s="92">
        <f>IF(B110="",0,SUMIF(D_Cle,B110,D_Brut))</f>
        <v>0</v>
      </c>
      <c r="J110" s="90">
        <f>IF(B110="",0,SUMIF(D_Cle,B110,D_C2))</f>
        <v>0</v>
      </c>
      <c r="K110" s="92">
        <f>IF(AND(B110&lt;&gt;"",N(Calcul!L78)&gt;0),(Calcul!I78*(E110-F110-G110)+N(Calcul!J78)*F110+IF(Calcul!K78="",Calcul!I78,Calcul!K78)*G110+N(Calcul!L78)*H110)/1000000,0)</f>
        <v>0</v>
      </c>
      <c r="L110" s="92">
        <f>IF(AND(B110&lt;&gt;"",N(Calcul!L78)&gt;0),(Calcul!I78*(E110-F110)+N(Calcul!J78)*F110+IF(Calcul!K78="",Calcul!I78,Calcul!K78)*G110+N(Calcul!L78)*H110)/1000000,0)</f>
        <v>0</v>
      </c>
      <c r="M110" s="92">
        <f>IF(AND(B110&lt;&gt;"",N(Calcul!L78)&gt;0),(Calcul!I78*E110+N(Calcul!J78)*F110+IF(Calcul!K78="",Calcul!I78,Calcul!K78)*G110+N(Calcul!L78)*H110)/1000000,0)</f>
        <v>0</v>
      </c>
      <c r="N110" s="93" t="str">
        <f>IF(K110&gt;0,I110/K110,"")</f>
        <v/>
      </c>
      <c r="O110" s="93" t="str">
        <f>IF(L110&gt;0,I110/L110,"")</f>
        <v/>
      </c>
      <c r="P110" s="93" t="str">
        <f>IF(M110&gt;0,I110/M110,"")</f>
        <v/>
      </c>
      <c r="Q110" s="89" t="str">
        <f>IF(B110="","",Calcul!E78)</f>
        <v>Inclusive</v>
      </c>
      <c r="R110" s="92">
        <f>IF(AND(B110&lt;&gt;"",N(Calcul!L78)&gt;0),(Calcul!I78*(E110-Calcul!G78*F110-Calcul!H78*G110)+N(Calcul!J78)*F110+IF(Calcul!K78="",Calcul!I78,Calcul!K78)*G110+N(Calcul!L78)*H110)/1000000,0)</f>
        <v>0</v>
      </c>
      <c r="S110" s="93" t="str">
        <f>IF(R110&gt;0,I110/R110,"")</f>
        <v/>
      </c>
      <c r="T110" s="89" t="str">
        <f>IF(OR(B110="",D110=0),"",IF(S110="","Sans tarif",IF(AND(S110&gt;=0.895,S110&lt;=1.005),"✓ Cohérent","⚠ Hors plage")))</f>
        <v/>
      </c>
      <c r="U110" s="89" t="str">
        <f>IF(B110="","",IFERROR(INDEX(K_FamDec,MATCH(C110,K_FamNom,0)),""))</f>
        <v/>
      </c>
    </row>
    <row r="111">
      <c r="B111" s="89" t="str">
        <f>IF(Calcul!B79="","",Calcul!B79)</f>
        <v>gpt-4o-transcribe-2025-03-20</v>
      </c>
      <c r="C111" s="89" t="str">
        <f>IF(B111="","",Calcul!C79)</f>
        <v>Hors grille</v>
      </c>
      <c r="D111" s="90">
        <f>IF(B111="",0,COUNTIF(D_Cle,B111))</f>
        <v>0</v>
      </c>
      <c r="E111" s="91">
        <f>IF(B111="",0,SUMIF(D_Cle,B111,D_I))</f>
        <v>0</v>
      </c>
      <c r="F111" s="91">
        <f>IF(B111="",0,SUMIF(D_Cle,B111,D_CR))</f>
        <v>0</v>
      </c>
      <c r="G111" s="91">
        <f>IF(B111="",0,SUMIF(D_Cle,B111,D_CW))</f>
        <v>0</v>
      </c>
      <c r="H111" s="91">
        <f>IF(B111="",0,SUMIF(D_Cle,B111,D_O))</f>
        <v>0</v>
      </c>
      <c r="I111" s="92">
        <f>IF(B111="",0,SUMIF(D_Cle,B111,D_Brut))</f>
        <v>0</v>
      </c>
      <c r="J111" s="90">
        <f>IF(B111="",0,SUMIF(D_Cle,B111,D_C2))</f>
        <v>0</v>
      </c>
      <c r="K111" s="92">
        <f>IF(AND(B111&lt;&gt;"",N(Calcul!L79)&gt;0),(Calcul!I79*(E111-F111-G111)+N(Calcul!J79)*F111+IF(Calcul!K79="",Calcul!I79,Calcul!K79)*G111+N(Calcul!L79)*H111)/1000000,0)</f>
        <v>0</v>
      </c>
      <c r="L111" s="92">
        <f>IF(AND(B111&lt;&gt;"",N(Calcul!L79)&gt;0),(Calcul!I79*(E111-F111)+N(Calcul!J79)*F111+IF(Calcul!K79="",Calcul!I79,Calcul!K79)*G111+N(Calcul!L79)*H111)/1000000,0)</f>
        <v>0</v>
      </c>
      <c r="M111" s="92">
        <f>IF(AND(B111&lt;&gt;"",N(Calcul!L79)&gt;0),(Calcul!I79*E111+N(Calcul!J79)*F111+IF(Calcul!K79="",Calcul!I79,Calcul!K79)*G111+N(Calcul!L79)*H111)/1000000,0)</f>
        <v>0</v>
      </c>
      <c r="N111" s="93" t="str">
        <f>IF(K111&gt;0,I111/K111,"")</f>
        <v/>
      </c>
      <c r="O111" s="93" t="str">
        <f>IF(L111&gt;0,I111/L111,"")</f>
        <v/>
      </c>
      <c r="P111" s="93" t="str">
        <f>IF(M111&gt;0,I111/M111,"")</f>
        <v/>
      </c>
      <c r="Q111" s="89" t="str">
        <f>IF(B111="","",Calcul!E79)</f>
        <v>Inclusive</v>
      </c>
      <c r="R111" s="92">
        <f>IF(AND(B111&lt;&gt;"",N(Calcul!L79)&gt;0),(Calcul!I79*(E111-Calcul!G79*F111-Calcul!H79*G111)+N(Calcul!J79)*F111+IF(Calcul!K79="",Calcul!I79,Calcul!K79)*G111+N(Calcul!L79)*H111)/1000000,0)</f>
        <v>0</v>
      </c>
      <c r="S111" s="93" t="str">
        <f>IF(R111&gt;0,I111/R111,"")</f>
        <v/>
      </c>
      <c r="T111" s="89" t="str">
        <f>IF(OR(B111="",D111=0),"",IF(S111="","Sans tarif",IF(AND(S111&gt;=0.895,S111&lt;=1.005),"✓ Cohérent","⚠ Hors plage")))</f>
        <v/>
      </c>
      <c r="U111" s="89" t="str">
        <f>IF(B111="","",IFERROR(INDEX(K_FamDec,MATCH(C111,K_FamNom,0)),""))</f>
        <v/>
      </c>
    </row>
    <row r="112">
      <c r="B112" s="89" t="str">
        <f>IF(Calcul!B80="","",Calcul!B80)</f>
        <v>GPT-5</v>
      </c>
      <c r="C112" s="89" t="str">
        <f>IF(B112="","",Calcul!C80)</f>
        <v>Hors grille</v>
      </c>
      <c r="D112" s="90">
        <f>IF(B112="",0,COUNTIF(D_Cle,B112))</f>
        <v>0</v>
      </c>
      <c r="E112" s="91">
        <f>IF(B112="",0,SUMIF(D_Cle,B112,D_I))</f>
        <v>0</v>
      </c>
      <c r="F112" s="91">
        <f>IF(B112="",0,SUMIF(D_Cle,B112,D_CR))</f>
        <v>0</v>
      </c>
      <c r="G112" s="91">
        <f>IF(B112="",0,SUMIF(D_Cle,B112,D_CW))</f>
        <v>0</v>
      </c>
      <c r="H112" s="91">
        <f>IF(B112="",0,SUMIF(D_Cle,B112,D_O))</f>
        <v>0</v>
      </c>
      <c r="I112" s="92">
        <f>IF(B112="",0,SUMIF(D_Cle,B112,D_Brut))</f>
        <v>0</v>
      </c>
      <c r="J112" s="90">
        <f>IF(B112="",0,SUMIF(D_Cle,B112,D_C2))</f>
        <v>0</v>
      </c>
      <c r="K112" s="92">
        <f>IF(AND(B112&lt;&gt;"",N(Calcul!L80)&gt;0),(Calcul!I80*(E112-F112-G112)+N(Calcul!J80)*F112+IF(Calcul!K80="",Calcul!I80,Calcul!K80)*G112+N(Calcul!L80)*H112)/1000000,0)</f>
        <v>0</v>
      </c>
      <c r="L112" s="92">
        <f>IF(AND(B112&lt;&gt;"",N(Calcul!L80)&gt;0),(Calcul!I80*(E112-F112)+N(Calcul!J80)*F112+IF(Calcul!K80="",Calcul!I80,Calcul!K80)*G112+N(Calcul!L80)*H112)/1000000,0)</f>
        <v>0</v>
      </c>
      <c r="M112" s="92">
        <f>IF(AND(B112&lt;&gt;"",N(Calcul!L80)&gt;0),(Calcul!I80*E112+N(Calcul!J80)*F112+IF(Calcul!K80="",Calcul!I80,Calcul!K80)*G112+N(Calcul!L80)*H112)/1000000,0)</f>
        <v>0</v>
      </c>
      <c r="N112" s="93" t="str">
        <f>IF(K112&gt;0,I112/K112,"")</f>
        <v/>
      </c>
      <c r="O112" s="93" t="str">
        <f>IF(L112&gt;0,I112/L112,"")</f>
        <v/>
      </c>
      <c r="P112" s="93" t="str">
        <f>IF(M112&gt;0,I112/M112,"")</f>
        <v/>
      </c>
      <c r="Q112" s="89" t="str">
        <f>IF(B112="","",Calcul!E80)</f>
        <v>Inclusive</v>
      </c>
      <c r="R112" s="92">
        <f>IF(AND(B112&lt;&gt;"",N(Calcul!L80)&gt;0),(Calcul!I80*(E112-Calcul!G80*F112-Calcul!H80*G112)+N(Calcul!J80)*F112+IF(Calcul!K80="",Calcul!I80,Calcul!K80)*G112+N(Calcul!L80)*H112)/1000000,0)</f>
        <v>0</v>
      </c>
      <c r="S112" s="93" t="str">
        <f>IF(R112&gt;0,I112/R112,"")</f>
        <v/>
      </c>
      <c r="T112" s="89" t="str">
        <f>IF(OR(B112="",D112=0),"",IF(S112="","Sans tarif",IF(AND(S112&gt;=0.895,S112&lt;=1.005),"✓ Cohérent","⚠ Hors plage")))</f>
        <v/>
      </c>
      <c r="U112" s="89" t="str">
        <f>IF(B112="","",IFERROR(INDEX(K_FamDec,MATCH(C112,K_FamNom,0)),""))</f>
        <v/>
      </c>
    </row>
    <row r="113">
      <c r="B113" s="89" t="str">
        <f>IF(Calcul!B81="","",Calcul!B81)</f>
        <v>GPT-5 nano</v>
      </c>
      <c r="C113" s="89" t="str">
        <f>IF(B113="","",Calcul!C81)</f>
        <v>Hors grille</v>
      </c>
      <c r="D113" s="90">
        <f>IF(B113="",0,COUNTIF(D_Cle,B113))</f>
        <v>0</v>
      </c>
      <c r="E113" s="91">
        <f>IF(B113="",0,SUMIF(D_Cle,B113,D_I))</f>
        <v>0</v>
      </c>
      <c r="F113" s="91">
        <f>IF(B113="",0,SUMIF(D_Cle,B113,D_CR))</f>
        <v>0</v>
      </c>
      <c r="G113" s="91">
        <f>IF(B113="",0,SUMIF(D_Cle,B113,D_CW))</f>
        <v>0</v>
      </c>
      <c r="H113" s="91">
        <f>IF(B113="",0,SUMIF(D_Cle,B113,D_O))</f>
        <v>0</v>
      </c>
      <c r="I113" s="92">
        <f>IF(B113="",0,SUMIF(D_Cle,B113,D_Brut))</f>
        <v>0</v>
      </c>
      <c r="J113" s="90">
        <f>IF(B113="",0,SUMIF(D_Cle,B113,D_C2))</f>
        <v>0</v>
      </c>
      <c r="K113" s="92">
        <f>IF(AND(B113&lt;&gt;"",N(Calcul!L81)&gt;0),(Calcul!I81*(E113-F113-G113)+N(Calcul!J81)*F113+IF(Calcul!K81="",Calcul!I81,Calcul!K81)*G113+N(Calcul!L81)*H113)/1000000,0)</f>
        <v>0</v>
      </c>
      <c r="L113" s="92">
        <f>IF(AND(B113&lt;&gt;"",N(Calcul!L81)&gt;0),(Calcul!I81*(E113-F113)+N(Calcul!J81)*F113+IF(Calcul!K81="",Calcul!I81,Calcul!K81)*G113+N(Calcul!L81)*H113)/1000000,0)</f>
        <v>0</v>
      </c>
      <c r="M113" s="92">
        <f>IF(AND(B113&lt;&gt;"",N(Calcul!L81)&gt;0),(Calcul!I81*E113+N(Calcul!J81)*F113+IF(Calcul!K81="",Calcul!I81,Calcul!K81)*G113+N(Calcul!L81)*H113)/1000000,0)</f>
        <v>0</v>
      </c>
      <c r="N113" s="93" t="str">
        <f>IF(K113&gt;0,I113/K113,"")</f>
        <v/>
      </c>
      <c r="O113" s="93" t="str">
        <f>IF(L113&gt;0,I113/L113,"")</f>
        <v/>
      </c>
      <c r="P113" s="93" t="str">
        <f>IF(M113&gt;0,I113/M113,"")</f>
        <v/>
      </c>
      <c r="Q113" s="89" t="str">
        <f>IF(B113="","",Calcul!E81)</f>
        <v>Inclusive</v>
      </c>
      <c r="R113" s="92">
        <f>IF(AND(B113&lt;&gt;"",N(Calcul!L81)&gt;0),(Calcul!I81*(E113-Calcul!G81*F113-Calcul!H81*G113)+N(Calcul!J81)*F113+IF(Calcul!K81="",Calcul!I81,Calcul!K81)*G113+N(Calcul!L81)*H113)/1000000,0)</f>
        <v>0</v>
      </c>
      <c r="S113" s="93" t="str">
        <f>IF(R113&gt;0,I113/R113,"")</f>
        <v/>
      </c>
      <c r="T113" s="89" t="str">
        <f>IF(OR(B113="",D113=0),"",IF(S113="","Sans tarif",IF(AND(S113&gt;=0.895,S113&lt;=1.005),"✓ Cohérent","⚠ Hors plage")))</f>
        <v/>
      </c>
      <c r="U113" s="89" t="str">
        <f>IF(B113="","",IFERROR(INDEX(K_FamDec,MATCH(C113,K_FamNom,0)),""))</f>
        <v/>
      </c>
    </row>
    <row r="114">
      <c r="B114" s="89" t="str">
        <f>IF(Calcul!B82="","",Calcul!B82)</f>
        <v>mistral-document-ai-2512</v>
      </c>
      <c r="C114" s="89" t="str">
        <f>IF(B114="","",Calcul!C82)</f>
        <v>Hors grille</v>
      </c>
      <c r="D114" s="90">
        <f>IF(B114="",0,COUNTIF(D_Cle,B114))</f>
        <v>0</v>
      </c>
      <c r="E114" s="91">
        <f>IF(B114="",0,SUMIF(D_Cle,B114,D_I))</f>
        <v>0</v>
      </c>
      <c r="F114" s="91">
        <f>IF(B114="",0,SUMIF(D_Cle,B114,D_CR))</f>
        <v>0</v>
      </c>
      <c r="G114" s="91">
        <f>IF(B114="",0,SUMIF(D_Cle,B114,D_CW))</f>
        <v>0</v>
      </c>
      <c r="H114" s="91">
        <f>IF(B114="",0,SUMIF(D_Cle,B114,D_O))</f>
        <v>0</v>
      </c>
      <c r="I114" s="92">
        <f>IF(B114="",0,SUMIF(D_Cle,B114,D_Brut))</f>
        <v>0</v>
      </c>
      <c r="J114" s="90">
        <f>IF(B114="",0,SUMIF(D_Cle,B114,D_C2))</f>
        <v>0</v>
      </c>
      <c r="K114" s="92">
        <f>IF(AND(B114&lt;&gt;"",N(Calcul!L82)&gt;0),(Calcul!I82*(E114-F114-G114)+N(Calcul!J82)*F114+IF(Calcul!K82="",Calcul!I82,Calcul!K82)*G114+N(Calcul!L82)*H114)/1000000,0)</f>
        <v>0</v>
      </c>
      <c r="L114" s="92">
        <f>IF(AND(B114&lt;&gt;"",N(Calcul!L82)&gt;0),(Calcul!I82*(E114-F114)+N(Calcul!J82)*F114+IF(Calcul!K82="",Calcul!I82,Calcul!K82)*G114+N(Calcul!L82)*H114)/1000000,0)</f>
        <v>0</v>
      </c>
      <c r="M114" s="92">
        <f>IF(AND(B114&lt;&gt;"",N(Calcul!L82)&gt;0),(Calcul!I82*E114+N(Calcul!J82)*F114+IF(Calcul!K82="",Calcul!I82,Calcul!K82)*G114+N(Calcul!L82)*H114)/1000000,0)</f>
        <v>0</v>
      </c>
      <c r="N114" s="93" t="str">
        <f>IF(K114&gt;0,I114/K114,"")</f>
        <v/>
      </c>
      <c r="O114" s="93" t="str">
        <f>IF(L114&gt;0,I114/L114,"")</f>
        <v/>
      </c>
      <c r="P114" s="93" t="str">
        <f>IF(M114&gt;0,I114/M114,"")</f>
        <v/>
      </c>
      <c r="Q114" s="89" t="str">
        <f>IF(B114="","",Calcul!E82)</f>
        <v>Inclusive</v>
      </c>
      <c r="R114" s="92">
        <f>IF(AND(B114&lt;&gt;"",N(Calcul!L82)&gt;0),(Calcul!I82*(E114-Calcul!G82*F114-Calcul!H82*G114)+N(Calcul!J82)*F114+IF(Calcul!K82="",Calcul!I82,Calcul!K82)*G114+N(Calcul!L82)*H114)/1000000,0)</f>
        <v>0</v>
      </c>
      <c r="S114" s="93" t="str">
        <f>IF(R114&gt;0,I114/R114,"")</f>
        <v/>
      </c>
      <c r="T114" s="89" t="str">
        <f>IF(OR(B114="",D114=0),"",IF(S114="","Sans tarif",IF(AND(S114&gt;=0.895,S114&lt;=1.005),"✓ Cohérent","⚠ Hors plage")))</f>
        <v/>
      </c>
      <c r="U114" s="89" t="str">
        <f>IF(B114="","",IFERROR(INDEX(K_FamDec,MATCH(C114,K_FamNom,0)),""))</f>
        <v/>
      </c>
    </row>
    <row r="115">
      <c r="B115" s="89" t="str">
        <f>IF(Calcul!B83="","",Calcul!B83)</f>
        <v>mistral-large-2512</v>
      </c>
      <c r="C115" s="89" t="str">
        <f>IF(B115="","",Calcul!C83)</f>
        <v>Hors grille</v>
      </c>
      <c r="D115" s="90">
        <f>IF(B115="",0,COUNTIF(D_Cle,B115))</f>
        <v>0</v>
      </c>
      <c r="E115" s="91">
        <f>IF(B115="",0,SUMIF(D_Cle,B115,D_I))</f>
        <v>0</v>
      </c>
      <c r="F115" s="91">
        <f>IF(B115="",0,SUMIF(D_Cle,B115,D_CR))</f>
        <v>0</v>
      </c>
      <c r="G115" s="91">
        <f>IF(B115="",0,SUMIF(D_Cle,B115,D_CW))</f>
        <v>0</v>
      </c>
      <c r="H115" s="91">
        <f>IF(B115="",0,SUMIF(D_Cle,B115,D_O))</f>
        <v>0</v>
      </c>
      <c r="I115" s="92">
        <f>IF(B115="",0,SUMIF(D_Cle,B115,D_Brut))</f>
        <v>0</v>
      </c>
      <c r="J115" s="90">
        <f>IF(B115="",0,SUMIF(D_Cle,B115,D_C2))</f>
        <v>0</v>
      </c>
      <c r="K115" s="92">
        <f>IF(AND(B115&lt;&gt;"",N(Calcul!L83)&gt;0),(Calcul!I83*(E115-F115-G115)+N(Calcul!J83)*F115+IF(Calcul!K83="",Calcul!I83,Calcul!K83)*G115+N(Calcul!L83)*H115)/1000000,0)</f>
        <v>0</v>
      </c>
      <c r="L115" s="92">
        <f>IF(AND(B115&lt;&gt;"",N(Calcul!L83)&gt;0),(Calcul!I83*(E115-F115)+N(Calcul!J83)*F115+IF(Calcul!K83="",Calcul!I83,Calcul!K83)*G115+N(Calcul!L83)*H115)/1000000,0)</f>
        <v>0</v>
      </c>
      <c r="M115" s="92">
        <f>IF(AND(B115&lt;&gt;"",N(Calcul!L83)&gt;0),(Calcul!I83*E115+N(Calcul!J83)*F115+IF(Calcul!K83="",Calcul!I83,Calcul!K83)*G115+N(Calcul!L83)*H115)/1000000,0)</f>
        <v>0</v>
      </c>
      <c r="N115" s="93" t="str">
        <f>IF(K115&gt;0,I115/K115,"")</f>
        <v/>
      </c>
      <c r="O115" s="93" t="str">
        <f>IF(L115&gt;0,I115/L115,"")</f>
        <v/>
      </c>
      <c r="P115" s="93" t="str">
        <f>IF(M115&gt;0,I115/M115,"")</f>
        <v/>
      </c>
      <c r="Q115" s="89" t="str">
        <f>IF(B115="","",Calcul!E83)</f>
        <v>Inclusive</v>
      </c>
      <c r="R115" s="92">
        <f>IF(AND(B115&lt;&gt;"",N(Calcul!L83)&gt;0),(Calcul!I83*(E115-Calcul!G83*F115-Calcul!H83*G115)+N(Calcul!J83)*F115+IF(Calcul!K83="",Calcul!I83,Calcul!K83)*G115+N(Calcul!L83)*H115)/1000000,0)</f>
        <v>0</v>
      </c>
      <c r="S115" s="93" t="str">
        <f>IF(R115&gt;0,I115/R115,"")</f>
        <v/>
      </c>
      <c r="T115" s="89" t="str">
        <f>IF(OR(B115="",D115=0),"",IF(S115="","Sans tarif",IF(AND(S115&gt;=0.895,S115&lt;=1.005),"✓ Cohérent","⚠ Hors plage")))</f>
        <v/>
      </c>
      <c r="U115" s="89" t="str">
        <f>IF(B115="","",IFERROR(INDEX(K_FamDec,MATCH(C115,K_FamNom,0)),""))</f>
        <v/>
      </c>
    </row>
    <row r="116">
      <c r="B116" s="89" t="str">
        <f>IF(Calcul!B84="","",Calcul!B84)</f>
        <v>mistral-medium-2505</v>
      </c>
      <c r="C116" s="89" t="str">
        <f>IF(B116="","",Calcul!C84)</f>
        <v>Hors grille</v>
      </c>
      <c r="D116" s="90">
        <f>IF(B116="",0,COUNTIF(D_Cle,B116))</f>
        <v>0</v>
      </c>
      <c r="E116" s="91">
        <f>IF(B116="",0,SUMIF(D_Cle,B116,D_I))</f>
        <v>0</v>
      </c>
      <c r="F116" s="91">
        <f>IF(B116="",0,SUMIF(D_Cle,B116,D_CR))</f>
        <v>0</v>
      </c>
      <c r="G116" s="91">
        <f>IF(B116="",0,SUMIF(D_Cle,B116,D_CW))</f>
        <v>0</v>
      </c>
      <c r="H116" s="91">
        <f>IF(B116="",0,SUMIF(D_Cle,B116,D_O))</f>
        <v>0</v>
      </c>
      <c r="I116" s="92">
        <f>IF(B116="",0,SUMIF(D_Cle,B116,D_Brut))</f>
        <v>0</v>
      </c>
      <c r="J116" s="90">
        <f>IF(B116="",0,SUMIF(D_Cle,B116,D_C2))</f>
        <v>0</v>
      </c>
      <c r="K116" s="92">
        <f>IF(AND(B116&lt;&gt;"",N(Calcul!L84)&gt;0),(Calcul!I84*(E116-F116-G116)+N(Calcul!J84)*F116+IF(Calcul!K84="",Calcul!I84,Calcul!K84)*G116+N(Calcul!L84)*H116)/1000000,0)</f>
        <v>0</v>
      </c>
      <c r="L116" s="92">
        <f>IF(AND(B116&lt;&gt;"",N(Calcul!L84)&gt;0),(Calcul!I84*(E116-F116)+N(Calcul!J84)*F116+IF(Calcul!K84="",Calcul!I84,Calcul!K84)*G116+N(Calcul!L84)*H116)/1000000,0)</f>
        <v>0</v>
      </c>
      <c r="M116" s="92">
        <f>IF(AND(B116&lt;&gt;"",N(Calcul!L84)&gt;0),(Calcul!I84*E116+N(Calcul!J84)*F116+IF(Calcul!K84="",Calcul!I84,Calcul!K84)*G116+N(Calcul!L84)*H116)/1000000,0)</f>
        <v>0</v>
      </c>
      <c r="N116" s="93" t="str">
        <f>IF(K116&gt;0,I116/K116,"")</f>
        <v/>
      </c>
      <c r="O116" s="93" t="str">
        <f>IF(L116&gt;0,I116/L116,"")</f>
        <v/>
      </c>
      <c r="P116" s="93" t="str">
        <f>IF(M116&gt;0,I116/M116,"")</f>
        <v/>
      </c>
      <c r="Q116" s="89" t="str">
        <f>IF(B116="","",Calcul!E84)</f>
        <v>Inclusive</v>
      </c>
      <c r="R116" s="92">
        <f>IF(AND(B116&lt;&gt;"",N(Calcul!L84)&gt;0),(Calcul!I84*(E116-Calcul!G84*F116-Calcul!H84*G116)+N(Calcul!J84)*F116+IF(Calcul!K84="",Calcul!I84,Calcul!K84)*G116+N(Calcul!L84)*H116)/1000000,0)</f>
        <v>0</v>
      </c>
      <c r="S116" s="93" t="str">
        <f>IF(R116&gt;0,I116/R116,"")</f>
        <v/>
      </c>
      <c r="T116" s="89" t="str">
        <f>IF(OR(B116="",D116=0),"",IF(S116="","Sans tarif",IF(AND(S116&gt;=0.895,S116&lt;=1.005),"✓ Cohérent","⚠ Hors plage")))</f>
        <v/>
      </c>
      <c r="U116" s="89" t="str">
        <f>IF(B116="","",IFERROR(INDEX(K_FamDec,MATCH(C116,K_FamNom,0)),""))</f>
        <v/>
      </c>
    </row>
    <row r="117">
      <c r="B117" s="89" t="str">
        <f>IF(Calcul!B85="","",Calcul!B85)</f>
        <v>mistral-small-2503</v>
      </c>
      <c r="C117" s="89" t="str">
        <f>IF(B117="","",Calcul!C85)</f>
        <v>Hors grille</v>
      </c>
      <c r="D117" s="90">
        <f>IF(B117="",0,COUNTIF(D_Cle,B117))</f>
        <v>0</v>
      </c>
      <c r="E117" s="91">
        <f>IF(B117="",0,SUMIF(D_Cle,B117,D_I))</f>
        <v>0</v>
      </c>
      <c r="F117" s="91">
        <f>IF(B117="",0,SUMIF(D_Cle,B117,D_CR))</f>
        <v>0</v>
      </c>
      <c r="G117" s="91">
        <f>IF(B117="",0,SUMIF(D_Cle,B117,D_CW))</f>
        <v>0</v>
      </c>
      <c r="H117" s="91">
        <f>IF(B117="",0,SUMIF(D_Cle,B117,D_O))</f>
        <v>0</v>
      </c>
      <c r="I117" s="92">
        <f>IF(B117="",0,SUMIF(D_Cle,B117,D_Brut))</f>
        <v>0</v>
      </c>
      <c r="J117" s="90">
        <f>IF(B117="",0,SUMIF(D_Cle,B117,D_C2))</f>
        <v>0</v>
      </c>
      <c r="K117" s="92">
        <f>IF(AND(B117&lt;&gt;"",N(Calcul!L85)&gt;0),(Calcul!I85*(E117-F117-G117)+N(Calcul!J85)*F117+IF(Calcul!K85="",Calcul!I85,Calcul!K85)*G117+N(Calcul!L85)*H117)/1000000,0)</f>
        <v>0</v>
      </c>
      <c r="L117" s="92">
        <f>IF(AND(B117&lt;&gt;"",N(Calcul!L85)&gt;0),(Calcul!I85*(E117-F117)+N(Calcul!J85)*F117+IF(Calcul!K85="",Calcul!I85,Calcul!K85)*G117+N(Calcul!L85)*H117)/1000000,0)</f>
        <v>0</v>
      </c>
      <c r="M117" s="92">
        <f>IF(AND(B117&lt;&gt;"",N(Calcul!L85)&gt;0),(Calcul!I85*E117+N(Calcul!J85)*F117+IF(Calcul!K85="",Calcul!I85,Calcul!K85)*G117+N(Calcul!L85)*H117)/1000000,0)</f>
        <v>0</v>
      </c>
      <c r="N117" s="93" t="str">
        <f>IF(K117&gt;0,I117/K117,"")</f>
        <v/>
      </c>
      <c r="O117" s="93" t="str">
        <f>IF(L117&gt;0,I117/L117,"")</f>
        <v/>
      </c>
      <c r="P117" s="93" t="str">
        <f>IF(M117&gt;0,I117/M117,"")</f>
        <v/>
      </c>
      <c r="Q117" s="89" t="str">
        <f>IF(B117="","",Calcul!E85)</f>
        <v>Inclusive</v>
      </c>
      <c r="R117" s="92">
        <f>IF(AND(B117&lt;&gt;"",N(Calcul!L85)&gt;0),(Calcul!I85*(E117-Calcul!G85*F117-Calcul!H85*G117)+N(Calcul!J85)*F117+IF(Calcul!K85="",Calcul!I85,Calcul!K85)*G117+N(Calcul!L85)*H117)/1000000,0)</f>
        <v>0</v>
      </c>
      <c r="S117" s="93" t="str">
        <f>IF(R117&gt;0,I117/R117,"")</f>
        <v/>
      </c>
      <c r="T117" s="89" t="str">
        <f>IF(OR(B117="",D117=0),"",IF(S117="","Sans tarif",IF(AND(S117&gt;=0.895,S117&lt;=1.005),"✓ Cohérent","⚠ Hors plage")))</f>
        <v/>
      </c>
      <c r="U117" s="89" t="str">
        <f>IF(B117="","",IFERROR(INDEX(K_FamDec,MATCH(C117,K_FamNom,0)),""))</f>
        <v/>
      </c>
    </row>
    <row r="118">
      <c r="B118" s="89" t="str">
        <f>IF(Calcul!B86="","",Calcul!B86)</f>
        <v>o3-mini (2025-01-31)</v>
      </c>
      <c r="C118" s="89" t="str">
        <f>IF(B118="","",Calcul!C86)</f>
        <v>Hors grille</v>
      </c>
      <c r="D118" s="90">
        <f>IF(B118="",0,COUNTIF(D_Cle,B118))</f>
        <v>0</v>
      </c>
      <c r="E118" s="91">
        <f>IF(B118="",0,SUMIF(D_Cle,B118,D_I))</f>
        <v>0</v>
      </c>
      <c r="F118" s="91">
        <f>IF(B118="",0,SUMIF(D_Cle,B118,D_CR))</f>
        <v>0</v>
      </c>
      <c r="G118" s="91">
        <f>IF(B118="",0,SUMIF(D_Cle,B118,D_CW))</f>
        <v>0</v>
      </c>
      <c r="H118" s="91">
        <f>IF(B118="",0,SUMIF(D_Cle,B118,D_O))</f>
        <v>0</v>
      </c>
      <c r="I118" s="92">
        <f>IF(B118="",0,SUMIF(D_Cle,B118,D_Brut))</f>
        <v>0</v>
      </c>
      <c r="J118" s="90">
        <f>IF(B118="",0,SUMIF(D_Cle,B118,D_C2))</f>
        <v>0</v>
      </c>
      <c r="K118" s="92">
        <f>IF(AND(B118&lt;&gt;"",N(Calcul!L86)&gt;0),(Calcul!I86*(E118-F118-G118)+N(Calcul!J86)*F118+IF(Calcul!K86="",Calcul!I86,Calcul!K86)*G118+N(Calcul!L86)*H118)/1000000,0)</f>
        <v>0</v>
      </c>
      <c r="L118" s="92">
        <f>IF(AND(B118&lt;&gt;"",N(Calcul!L86)&gt;0),(Calcul!I86*(E118-F118)+N(Calcul!J86)*F118+IF(Calcul!K86="",Calcul!I86,Calcul!K86)*G118+N(Calcul!L86)*H118)/1000000,0)</f>
        <v>0</v>
      </c>
      <c r="M118" s="92">
        <f>IF(AND(B118&lt;&gt;"",N(Calcul!L86)&gt;0),(Calcul!I86*E118+N(Calcul!J86)*F118+IF(Calcul!K86="",Calcul!I86,Calcul!K86)*G118+N(Calcul!L86)*H118)/1000000,0)</f>
        <v>0</v>
      </c>
      <c r="N118" s="93" t="str">
        <f>IF(K118&gt;0,I118/K118,"")</f>
        <v/>
      </c>
      <c r="O118" s="93" t="str">
        <f>IF(L118&gt;0,I118/L118,"")</f>
        <v/>
      </c>
      <c r="P118" s="93" t="str">
        <f>IF(M118&gt;0,I118/M118,"")</f>
        <v/>
      </c>
      <c r="Q118" s="89" t="str">
        <f>IF(B118="","",Calcul!E86)</f>
        <v>Inclusive</v>
      </c>
      <c r="R118" s="92">
        <f>IF(AND(B118&lt;&gt;"",N(Calcul!L86)&gt;0),(Calcul!I86*(E118-Calcul!G86*F118-Calcul!H86*G118)+N(Calcul!J86)*F118+IF(Calcul!K86="",Calcul!I86,Calcul!K86)*G118+N(Calcul!L86)*H118)/1000000,0)</f>
        <v>0</v>
      </c>
      <c r="S118" s="93" t="str">
        <f>IF(R118&gt;0,I118/R118,"")</f>
        <v/>
      </c>
      <c r="T118" s="89" t="str">
        <f>IF(OR(B118="",D118=0),"",IF(S118="","Sans tarif",IF(AND(S118&gt;=0.895,S118&lt;=1.005),"✓ Cohérent","⚠ Hors plage")))</f>
        <v/>
      </c>
      <c r="U118" s="89" t="str">
        <f>IF(B118="","",IFERROR(INDEX(K_FamDec,MATCH(C118,K_FamNom,0)),""))</f>
        <v/>
      </c>
    </row>
    <row r="119">
      <c r="B119" s="89" t="str">
        <f>IF(Calcul!B87="","",Calcul!B87)</f>
        <v>o3-2025-04-16</v>
      </c>
      <c r="C119" s="89" t="str">
        <f>IF(B119="","",Calcul!C87)</f>
        <v>Hors grille</v>
      </c>
      <c r="D119" s="90">
        <f>IF(B119="",0,COUNTIF(D_Cle,B119))</f>
        <v>0</v>
      </c>
      <c r="E119" s="91">
        <f>IF(B119="",0,SUMIF(D_Cle,B119,D_I))</f>
        <v>0</v>
      </c>
      <c r="F119" s="91">
        <f>IF(B119="",0,SUMIF(D_Cle,B119,D_CR))</f>
        <v>0</v>
      </c>
      <c r="G119" s="91">
        <f>IF(B119="",0,SUMIF(D_Cle,B119,D_CW))</f>
        <v>0</v>
      </c>
      <c r="H119" s="91">
        <f>IF(B119="",0,SUMIF(D_Cle,B119,D_O))</f>
        <v>0</v>
      </c>
      <c r="I119" s="92">
        <f>IF(B119="",0,SUMIF(D_Cle,B119,D_Brut))</f>
        <v>0</v>
      </c>
      <c r="J119" s="90">
        <f>IF(B119="",0,SUMIF(D_Cle,B119,D_C2))</f>
        <v>0</v>
      </c>
      <c r="K119" s="92">
        <f>IF(AND(B119&lt;&gt;"",N(Calcul!L87)&gt;0),(Calcul!I87*(E119-F119-G119)+N(Calcul!J87)*F119+IF(Calcul!K87="",Calcul!I87,Calcul!K87)*G119+N(Calcul!L87)*H119)/1000000,0)</f>
        <v>0</v>
      </c>
      <c r="L119" s="92">
        <f>IF(AND(B119&lt;&gt;"",N(Calcul!L87)&gt;0),(Calcul!I87*(E119-F119)+N(Calcul!J87)*F119+IF(Calcul!K87="",Calcul!I87,Calcul!K87)*G119+N(Calcul!L87)*H119)/1000000,0)</f>
        <v>0</v>
      </c>
      <c r="M119" s="92">
        <f>IF(AND(B119&lt;&gt;"",N(Calcul!L87)&gt;0),(Calcul!I87*E119+N(Calcul!J87)*F119+IF(Calcul!K87="",Calcul!I87,Calcul!K87)*G119+N(Calcul!L87)*H119)/1000000,0)</f>
        <v>0</v>
      </c>
      <c r="N119" s="93" t="str">
        <f>IF(K119&gt;0,I119/K119,"")</f>
        <v/>
      </c>
      <c r="O119" s="93" t="str">
        <f>IF(L119&gt;0,I119/L119,"")</f>
        <v/>
      </c>
      <c r="P119" s="93" t="str">
        <f>IF(M119&gt;0,I119/M119,"")</f>
        <v/>
      </c>
      <c r="Q119" s="89" t="str">
        <f>IF(B119="","",Calcul!E87)</f>
        <v>Inclusive</v>
      </c>
      <c r="R119" s="92">
        <f>IF(AND(B119&lt;&gt;"",N(Calcul!L87)&gt;0),(Calcul!I87*(E119-Calcul!G87*F119-Calcul!H87*G119)+N(Calcul!J87)*F119+IF(Calcul!K87="",Calcul!I87,Calcul!K87)*G119+N(Calcul!L87)*H119)/1000000,0)</f>
        <v>0</v>
      </c>
      <c r="S119" s="93" t="str">
        <f>IF(R119&gt;0,I119/R119,"")</f>
        <v/>
      </c>
      <c r="T119" s="89" t="str">
        <f>IF(OR(B119="",D119=0),"",IF(S119="","Sans tarif",IF(AND(S119&gt;=0.895,S119&lt;=1.005),"✓ Cohérent","⚠ Hors plage")))</f>
        <v/>
      </c>
      <c r="U119" s="89" t="str">
        <f>IF(B119="","",IFERROR(INDEX(K_FamDec,MATCH(C119,K_FamNom,0)),""))</f>
        <v/>
      </c>
    </row>
    <row r="120">
      <c r="B120" s="89" t="str">
        <f>IF(Calcul!B88="","",Calcul!B88)</f>
        <v>o4-mini-2025-04-16</v>
      </c>
      <c r="C120" s="89" t="str">
        <f>IF(B120="","",Calcul!C88)</f>
        <v>Hors grille</v>
      </c>
      <c r="D120" s="90">
        <f>IF(B120="",0,COUNTIF(D_Cle,B120))</f>
        <v>0</v>
      </c>
      <c r="E120" s="91">
        <f>IF(B120="",0,SUMIF(D_Cle,B120,D_I))</f>
        <v>0</v>
      </c>
      <c r="F120" s="91">
        <f>IF(B120="",0,SUMIF(D_Cle,B120,D_CR))</f>
        <v>0</v>
      </c>
      <c r="G120" s="91">
        <f>IF(B120="",0,SUMIF(D_Cle,B120,D_CW))</f>
        <v>0</v>
      </c>
      <c r="H120" s="91">
        <f>IF(B120="",0,SUMIF(D_Cle,B120,D_O))</f>
        <v>0</v>
      </c>
      <c r="I120" s="92">
        <f>IF(B120="",0,SUMIF(D_Cle,B120,D_Brut))</f>
        <v>0</v>
      </c>
      <c r="J120" s="90">
        <f>IF(B120="",0,SUMIF(D_Cle,B120,D_C2))</f>
        <v>0</v>
      </c>
      <c r="K120" s="92">
        <f>IF(AND(B120&lt;&gt;"",N(Calcul!L88)&gt;0),(Calcul!I88*(E120-F120-G120)+N(Calcul!J88)*F120+IF(Calcul!K88="",Calcul!I88,Calcul!K88)*G120+N(Calcul!L88)*H120)/1000000,0)</f>
        <v>0</v>
      </c>
      <c r="L120" s="92">
        <f>IF(AND(B120&lt;&gt;"",N(Calcul!L88)&gt;0),(Calcul!I88*(E120-F120)+N(Calcul!J88)*F120+IF(Calcul!K88="",Calcul!I88,Calcul!K88)*G120+N(Calcul!L88)*H120)/1000000,0)</f>
        <v>0</v>
      </c>
      <c r="M120" s="92">
        <f>IF(AND(B120&lt;&gt;"",N(Calcul!L88)&gt;0),(Calcul!I88*E120+N(Calcul!J88)*F120+IF(Calcul!K88="",Calcul!I88,Calcul!K88)*G120+N(Calcul!L88)*H120)/1000000,0)</f>
        <v>0</v>
      </c>
      <c r="N120" s="93" t="str">
        <f>IF(K120&gt;0,I120/K120,"")</f>
        <v/>
      </c>
      <c r="O120" s="93" t="str">
        <f>IF(L120&gt;0,I120/L120,"")</f>
        <v/>
      </c>
      <c r="P120" s="93" t="str">
        <f>IF(M120&gt;0,I120/M120,"")</f>
        <v/>
      </c>
      <c r="Q120" s="89" t="str">
        <f>IF(B120="","",Calcul!E88)</f>
        <v>Inclusive</v>
      </c>
      <c r="R120" s="92">
        <f>IF(AND(B120&lt;&gt;"",N(Calcul!L88)&gt;0),(Calcul!I88*(E120-Calcul!G88*F120-Calcul!H88*G120)+N(Calcul!J88)*F120+IF(Calcul!K88="",Calcul!I88,Calcul!K88)*G120+N(Calcul!L88)*H120)/1000000,0)</f>
        <v>0</v>
      </c>
      <c r="S120" s="93" t="str">
        <f>IF(R120&gt;0,I120/R120,"")</f>
        <v/>
      </c>
      <c r="T120" s="89" t="str">
        <f>IF(OR(B120="",D120=0),"",IF(S120="","Sans tarif",IF(AND(S120&gt;=0.895,S120&lt;=1.005),"✓ Cohérent","⚠ Hors plage")))</f>
        <v/>
      </c>
      <c r="U120" s="89" t="str">
        <f>IF(B120="","",IFERROR(INDEX(K_FamDec,MATCH(C120,K_FamNom,0)),""))</f>
        <v/>
      </c>
    </row>
    <row r="121">
      <c r="B121" s="89" t="str">
        <f>IF(Calcul!B89="","",Calcul!B89)</f>
        <v>text-embedding-3-large-1</v>
      </c>
      <c r="C121" s="89" t="str">
        <f>IF(B121="","",Calcul!C89)</f>
        <v>Hors grille</v>
      </c>
      <c r="D121" s="90">
        <f>IF(B121="",0,COUNTIF(D_Cle,B121))</f>
        <v>0</v>
      </c>
      <c r="E121" s="91">
        <f>IF(B121="",0,SUMIF(D_Cle,B121,D_I))</f>
        <v>0</v>
      </c>
      <c r="F121" s="91">
        <f>IF(B121="",0,SUMIF(D_Cle,B121,D_CR))</f>
        <v>0</v>
      </c>
      <c r="G121" s="91">
        <f>IF(B121="",0,SUMIF(D_Cle,B121,D_CW))</f>
        <v>0</v>
      </c>
      <c r="H121" s="91">
        <f>IF(B121="",0,SUMIF(D_Cle,B121,D_O))</f>
        <v>0</v>
      </c>
      <c r="I121" s="92">
        <f>IF(B121="",0,SUMIF(D_Cle,B121,D_Brut))</f>
        <v>0</v>
      </c>
      <c r="J121" s="90">
        <f>IF(B121="",0,SUMIF(D_Cle,B121,D_C2))</f>
        <v>0</v>
      </c>
      <c r="K121" s="92">
        <f>IF(AND(B121&lt;&gt;"",N(Calcul!L89)&gt;0),(Calcul!I89*(E121-F121-G121)+N(Calcul!J89)*F121+IF(Calcul!K89="",Calcul!I89,Calcul!K89)*G121+N(Calcul!L89)*H121)/1000000,0)</f>
        <v>0</v>
      </c>
      <c r="L121" s="92">
        <f>IF(AND(B121&lt;&gt;"",N(Calcul!L89)&gt;0),(Calcul!I89*(E121-F121)+N(Calcul!J89)*F121+IF(Calcul!K89="",Calcul!I89,Calcul!K89)*G121+N(Calcul!L89)*H121)/1000000,0)</f>
        <v>0</v>
      </c>
      <c r="M121" s="92">
        <f>IF(AND(B121&lt;&gt;"",N(Calcul!L89)&gt;0),(Calcul!I89*E121+N(Calcul!J89)*F121+IF(Calcul!K89="",Calcul!I89,Calcul!K89)*G121+N(Calcul!L89)*H121)/1000000,0)</f>
        <v>0</v>
      </c>
      <c r="N121" s="93" t="str">
        <f>IF(K121&gt;0,I121/K121,"")</f>
        <v/>
      </c>
      <c r="O121" s="93" t="str">
        <f>IF(L121&gt;0,I121/L121,"")</f>
        <v/>
      </c>
      <c r="P121" s="93" t="str">
        <f>IF(M121&gt;0,I121/M121,"")</f>
        <v/>
      </c>
      <c r="Q121" s="89" t="str">
        <f>IF(B121="","",Calcul!E89)</f>
        <v>Inclusive</v>
      </c>
      <c r="R121" s="92">
        <f>IF(AND(B121&lt;&gt;"",N(Calcul!L89)&gt;0),(Calcul!I89*(E121-Calcul!G89*F121-Calcul!H89*G121)+N(Calcul!J89)*F121+IF(Calcul!K89="",Calcul!I89,Calcul!K89)*G121+N(Calcul!L89)*H121)/1000000,0)</f>
        <v>0</v>
      </c>
      <c r="S121" s="93" t="str">
        <f>IF(R121&gt;0,I121/R121,"")</f>
        <v/>
      </c>
      <c r="T121" s="89" t="str">
        <f>IF(OR(B121="",D121=0),"",IF(S121="","Sans tarif",IF(AND(S121&gt;=0.895,S121&lt;=1.005),"✓ Cohérent","⚠ Hors plage")))</f>
        <v/>
      </c>
      <c r="U121" s="89" t="str">
        <f>IF(B121="","",IFERROR(INDEX(K_FamDec,MATCH(C121,K_FamNom,0)),""))</f>
        <v/>
      </c>
    </row>
    <row r="122">
      <c r="B122" s="89" t="str">
        <f>IF(Calcul!B90="","",Calcul!B90)</f>
        <v>text-embedding-ada-002</v>
      </c>
      <c r="C122" s="89" t="str">
        <f>IF(B122="","",Calcul!C90)</f>
        <v>Hors grille</v>
      </c>
      <c r="D122" s="90">
        <f>IF(B122="",0,COUNTIF(D_Cle,B122))</f>
        <v>0</v>
      </c>
      <c r="E122" s="91">
        <f>IF(B122="",0,SUMIF(D_Cle,B122,D_I))</f>
        <v>0</v>
      </c>
      <c r="F122" s="91">
        <f>IF(B122="",0,SUMIF(D_Cle,B122,D_CR))</f>
        <v>0</v>
      </c>
      <c r="G122" s="91">
        <f>IF(B122="",0,SUMIF(D_Cle,B122,D_CW))</f>
        <v>0</v>
      </c>
      <c r="H122" s="91">
        <f>IF(B122="",0,SUMIF(D_Cle,B122,D_O))</f>
        <v>0</v>
      </c>
      <c r="I122" s="92">
        <f>IF(B122="",0,SUMIF(D_Cle,B122,D_Brut))</f>
        <v>0</v>
      </c>
      <c r="J122" s="90">
        <f>IF(B122="",0,SUMIF(D_Cle,B122,D_C2))</f>
        <v>0</v>
      </c>
      <c r="K122" s="92">
        <f>IF(AND(B122&lt;&gt;"",N(Calcul!L90)&gt;0),(Calcul!I90*(E122-F122-G122)+N(Calcul!J90)*F122+IF(Calcul!K90="",Calcul!I90,Calcul!K90)*G122+N(Calcul!L90)*H122)/1000000,0)</f>
        <v>0</v>
      </c>
      <c r="L122" s="92">
        <f>IF(AND(B122&lt;&gt;"",N(Calcul!L90)&gt;0),(Calcul!I90*(E122-F122)+N(Calcul!J90)*F122+IF(Calcul!K90="",Calcul!I90,Calcul!K90)*G122+N(Calcul!L90)*H122)/1000000,0)</f>
        <v>0</v>
      </c>
      <c r="M122" s="92">
        <f>IF(AND(B122&lt;&gt;"",N(Calcul!L90)&gt;0),(Calcul!I90*E122+N(Calcul!J90)*F122+IF(Calcul!K90="",Calcul!I90,Calcul!K90)*G122+N(Calcul!L90)*H122)/1000000,0)</f>
        <v>0</v>
      </c>
      <c r="N122" s="93" t="str">
        <f>IF(K122&gt;0,I122/K122,"")</f>
        <v/>
      </c>
      <c r="O122" s="93" t="str">
        <f>IF(L122&gt;0,I122/L122,"")</f>
        <v/>
      </c>
      <c r="P122" s="93" t="str">
        <f>IF(M122&gt;0,I122/M122,"")</f>
        <v/>
      </c>
      <c r="Q122" s="89" t="str">
        <f>IF(B122="","",Calcul!E90)</f>
        <v>Inclusive</v>
      </c>
      <c r="R122" s="92">
        <f>IF(AND(B122&lt;&gt;"",N(Calcul!L90)&gt;0),(Calcul!I90*(E122-Calcul!G90*F122-Calcul!H90*G122)+N(Calcul!J90)*F122+IF(Calcul!K90="",Calcul!I90,Calcul!K90)*G122+N(Calcul!L90)*H122)/1000000,0)</f>
        <v>0</v>
      </c>
      <c r="S122" s="93" t="str">
        <f>IF(R122&gt;0,I122/R122,"")</f>
        <v/>
      </c>
      <c r="T122" s="89" t="str">
        <f>IF(OR(B122="",D122=0),"",IF(S122="","Sans tarif",IF(AND(S122&gt;=0.895,S122&lt;=1.005),"✓ Cohérent","⚠ Hors plage")))</f>
        <v/>
      </c>
      <c r="U122" s="89" t="str">
        <f>IF(B122="","",IFERROR(INDEX(K_FamDec,MATCH(C122,K_FamNom,0)),""))</f>
        <v/>
      </c>
    </row>
    <row r="123">
      <c r="B123" s="89" t="str">
        <f>IF(Calcul!B91="","",Calcul!B91)</f>
        <v>qwen3-235b-a22b-instruct-2507</v>
      </c>
      <c r="C123" s="89" t="str">
        <f>IF(B123="","",Calcul!C91)</f>
        <v>Hors grille</v>
      </c>
      <c r="D123" s="90">
        <f>IF(B123="",0,COUNTIF(D_Cle,B123))</f>
        <v>0</v>
      </c>
      <c r="E123" s="91">
        <f>IF(B123="",0,SUMIF(D_Cle,B123,D_I))</f>
        <v>0</v>
      </c>
      <c r="F123" s="91">
        <f>IF(B123="",0,SUMIF(D_Cle,B123,D_CR))</f>
        <v>0</v>
      </c>
      <c r="G123" s="91">
        <f>IF(B123="",0,SUMIF(D_Cle,B123,D_CW))</f>
        <v>0</v>
      </c>
      <c r="H123" s="91">
        <f>IF(B123="",0,SUMIF(D_Cle,B123,D_O))</f>
        <v>0</v>
      </c>
      <c r="I123" s="92">
        <f>IF(B123="",0,SUMIF(D_Cle,B123,D_Brut))</f>
        <v>0</v>
      </c>
      <c r="J123" s="90">
        <f>IF(B123="",0,SUMIF(D_Cle,B123,D_C2))</f>
        <v>0</v>
      </c>
      <c r="K123" s="92">
        <f>IF(AND(B123&lt;&gt;"",N(Calcul!L91)&gt;0),(Calcul!I91*(E123-F123-G123)+N(Calcul!J91)*F123+IF(Calcul!K91="",Calcul!I91,Calcul!K91)*G123+N(Calcul!L91)*H123)/1000000,0)</f>
        <v>0</v>
      </c>
      <c r="L123" s="92">
        <f>IF(AND(B123&lt;&gt;"",N(Calcul!L91)&gt;0),(Calcul!I91*(E123-F123)+N(Calcul!J91)*F123+IF(Calcul!K91="",Calcul!I91,Calcul!K91)*G123+N(Calcul!L91)*H123)/1000000,0)</f>
        <v>0</v>
      </c>
      <c r="M123" s="92">
        <f>IF(AND(B123&lt;&gt;"",N(Calcul!L91)&gt;0),(Calcul!I91*E123+N(Calcul!J91)*F123+IF(Calcul!K91="",Calcul!I91,Calcul!K91)*G123+N(Calcul!L91)*H123)/1000000,0)</f>
        <v>0</v>
      </c>
      <c r="N123" s="93" t="str">
        <f>IF(K123&gt;0,I123/K123,"")</f>
        <v/>
      </c>
      <c r="O123" s="93" t="str">
        <f>IF(L123&gt;0,I123/L123,"")</f>
        <v/>
      </c>
      <c r="P123" s="93" t="str">
        <f>IF(M123&gt;0,I123/M123,"")</f>
        <v/>
      </c>
      <c r="Q123" s="89" t="str">
        <f>IF(B123="","",Calcul!E91)</f>
        <v>Inclusive</v>
      </c>
      <c r="R123" s="92">
        <f>IF(AND(B123&lt;&gt;"",N(Calcul!L91)&gt;0),(Calcul!I91*(E123-Calcul!G91*F123-Calcul!H91*G123)+N(Calcul!J91)*F123+IF(Calcul!K91="",Calcul!I91,Calcul!K91)*G123+N(Calcul!L91)*H123)/1000000,0)</f>
        <v>0</v>
      </c>
      <c r="S123" s="93" t="str">
        <f>IF(R123&gt;0,I123/R123,"")</f>
        <v/>
      </c>
      <c r="T123" s="89" t="str">
        <f>IF(OR(B123="",D123=0),"",IF(S123="","Sans tarif",IF(AND(S123&gt;=0.895,S123&lt;=1.005),"✓ Cohérent","⚠ Hors plage")))</f>
        <v/>
      </c>
      <c r="U123" s="89" t="str">
        <f>IF(B123="","",IFERROR(INDEX(K_FamDec,MATCH(C123,K_FamNom,0)),""))</f>
        <v/>
      </c>
    </row>
    <row r="124">
      <c r="B124" s="89" t="str">
        <f>IF(Calcul!B92="","",Calcul!B92)</f>
        <v>Code Review model</v>
      </c>
      <c r="C124" s="89" t="str">
        <f>IF(B124="","",Calcul!C92)</f>
        <v>Hors grille</v>
      </c>
      <c r="D124" s="90">
        <f>IF(B124="",0,COUNTIF(D_Cle,B124))</f>
        <v>0</v>
      </c>
      <c r="E124" s="91">
        <f>IF(B124="",0,SUMIF(D_Cle,B124,D_I))</f>
        <v>0</v>
      </c>
      <c r="F124" s="91">
        <f>IF(B124="",0,SUMIF(D_Cle,B124,D_CR))</f>
        <v>0</v>
      </c>
      <c r="G124" s="91">
        <f>IF(B124="",0,SUMIF(D_Cle,B124,D_CW))</f>
        <v>0</v>
      </c>
      <c r="H124" s="91">
        <f>IF(B124="",0,SUMIF(D_Cle,B124,D_O))</f>
        <v>0</v>
      </c>
      <c r="I124" s="92">
        <f>IF(B124="",0,SUMIF(D_Cle,B124,D_Brut))</f>
        <v>0</v>
      </c>
      <c r="J124" s="90">
        <f>IF(B124="",0,SUMIF(D_Cle,B124,D_C2))</f>
        <v>0</v>
      </c>
      <c r="K124" s="92">
        <f>IF(AND(B124&lt;&gt;"",N(Calcul!L92)&gt;0),(Calcul!I92*(E124-F124-G124)+N(Calcul!J92)*F124+IF(Calcul!K92="",Calcul!I92,Calcul!K92)*G124+N(Calcul!L92)*H124)/1000000,0)</f>
        <v>0</v>
      </c>
      <c r="L124" s="92">
        <f>IF(AND(B124&lt;&gt;"",N(Calcul!L92)&gt;0),(Calcul!I92*(E124-F124)+N(Calcul!J92)*F124+IF(Calcul!K92="",Calcul!I92,Calcul!K92)*G124+N(Calcul!L92)*H124)/1000000,0)</f>
        <v>0</v>
      </c>
      <c r="M124" s="92">
        <f>IF(AND(B124&lt;&gt;"",N(Calcul!L92)&gt;0),(Calcul!I92*E124+N(Calcul!J92)*F124+IF(Calcul!K92="",Calcul!I92,Calcul!K92)*G124+N(Calcul!L92)*H124)/1000000,0)</f>
        <v>0</v>
      </c>
      <c r="N124" s="93" t="str">
        <f>IF(K124&gt;0,I124/K124,"")</f>
        <v/>
      </c>
      <c r="O124" s="93" t="str">
        <f>IF(L124&gt;0,I124/L124,"")</f>
        <v/>
      </c>
      <c r="P124" s="93" t="str">
        <f>IF(M124&gt;0,I124/M124,"")</f>
        <v/>
      </c>
      <c r="Q124" s="89" t="str">
        <f>IF(B124="","",Calcul!E92)</f>
        <v>Inclusive</v>
      </c>
      <c r="R124" s="92">
        <f>IF(AND(B124&lt;&gt;"",N(Calcul!L92)&gt;0),(Calcul!I92*(E124-Calcul!G92*F124-Calcul!H92*G124)+N(Calcul!J92)*F124+IF(Calcul!K92="",Calcul!I92,Calcul!K92)*G124+N(Calcul!L92)*H124)/1000000,0)</f>
        <v>0</v>
      </c>
      <c r="S124" s="93" t="str">
        <f>IF(R124&gt;0,I124/R124,"")</f>
        <v/>
      </c>
      <c r="T124" s="89" t="str">
        <f>IF(OR(B124="",D124=0),"",IF(S124="","Sans tarif",IF(AND(S124&gt;=0.895,S124&lt;=1.005),"✓ Cohérent","⚠ Hors plage")))</f>
        <v/>
      </c>
      <c r="U124" s="89" t="str">
        <f>IF(B124="","",IFERROR(INDEX(K_FamDec,MATCH(C124,K_FamNom,0)),""))</f>
        <v/>
      </c>
    </row>
    <row r="125">
      <c r="B125" s="89" t="str">
        <f>IF(Calcul!B93="","",Calcul!B93)</f>
        <v>(Autre modèle)</v>
      </c>
      <c r="C125" s="89" t="str">
        <f>IF(B125="","",Calcul!C93)</f>
        <v>Hors grille</v>
      </c>
      <c r="D125" s="90">
        <f>IF(B125="",0,COUNTIF(D_Cle,B125))</f>
        <v>0</v>
      </c>
      <c r="E125" s="91">
        <f>IF(B125="",0,SUMIF(D_Cle,B125,D_I))</f>
        <v>0</v>
      </c>
      <c r="F125" s="91">
        <f>IF(B125="",0,SUMIF(D_Cle,B125,D_CR))</f>
        <v>0</v>
      </c>
      <c r="G125" s="91">
        <f>IF(B125="",0,SUMIF(D_Cle,B125,D_CW))</f>
        <v>0</v>
      </c>
      <c r="H125" s="91">
        <f>IF(B125="",0,SUMIF(D_Cle,B125,D_O))</f>
        <v>0</v>
      </c>
      <c r="I125" s="92">
        <f>IF(B125="",0,SUMIF(D_Cle,B125,D_Brut))</f>
        <v>0</v>
      </c>
      <c r="J125" s="90">
        <f>IF(B125="",0,SUMIF(D_Cle,B125,D_C2))</f>
        <v>0</v>
      </c>
      <c r="K125" s="92">
        <f>IF(AND(B125&lt;&gt;"",N(Calcul!L93)&gt;0),(Calcul!I93*(E125-F125-G125)+N(Calcul!J93)*F125+IF(Calcul!K93="",Calcul!I93,Calcul!K93)*G125+N(Calcul!L93)*H125)/1000000,0)</f>
        <v>0</v>
      </c>
      <c r="L125" s="92">
        <f>IF(AND(B125&lt;&gt;"",N(Calcul!L93)&gt;0),(Calcul!I93*(E125-F125)+N(Calcul!J93)*F125+IF(Calcul!K93="",Calcul!I93,Calcul!K93)*G125+N(Calcul!L93)*H125)/1000000,0)</f>
        <v>0</v>
      </c>
      <c r="M125" s="92">
        <f>IF(AND(B125&lt;&gt;"",N(Calcul!L93)&gt;0),(Calcul!I93*E125+N(Calcul!J93)*F125+IF(Calcul!K93="",Calcul!I93,Calcul!K93)*G125+N(Calcul!L93)*H125)/1000000,0)</f>
        <v>0</v>
      </c>
      <c r="N125" s="93" t="str">
        <f>IF(K125&gt;0,I125/K125,"")</f>
        <v/>
      </c>
      <c r="O125" s="93" t="str">
        <f>IF(L125&gt;0,I125/L125,"")</f>
        <v/>
      </c>
      <c r="P125" s="93" t="str">
        <f>IF(M125&gt;0,I125/M125,"")</f>
        <v/>
      </c>
      <c r="Q125" s="89" t="str">
        <f>IF(B125="","",Calcul!E93)</f>
        <v>Inclusive</v>
      </c>
      <c r="R125" s="92">
        <f>IF(AND(B125&lt;&gt;"",N(Calcul!L93)&gt;0),(Calcul!I93*(E125-Calcul!G93*F125-Calcul!H93*G125)+N(Calcul!J93)*F125+IF(Calcul!K93="",Calcul!I93,Calcul!K93)*G125+N(Calcul!L93)*H125)/1000000,0)</f>
        <v>0</v>
      </c>
      <c r="S125" s="93" t="str">
        <f>IF(R125&gt;0,I125/R125,"")</f>
        <v/>
      </c>
      <c r="T125" s="89" t="str">
        <f>IF(OR(B125="",D125=0),"",IF(S125="","Sans tarif",IF(AND(S125&gt;=0.895,S125&lt;=1.005),"✓ Cohérent","⚠ Hors plage")))</f>
        <v/>
      </c>
      <c r="U125" s="89" t="str">
        <f>IF(B125="","",IFERROR(INDEX(K_FamDec,MATCH(C125,K_FamNom,0)),""))</f>
        <v/>
      </c>
    </row>
    <row r="126">
      <c r="B126" s="89" t="str">
        <f>IF(Calcul!B94="","",Calcul!B94)</f>
        <v/>
      </c>
      <c r="C126" s="89" t="str">
        <f>IF(B126="","",Calcul!C94)</f>
        <v/>
      </c>
      <c r="D126" s="90">
        <f>IF(B126="",0,COUNTIF(D_Cle,B126))</f>
        <v>0</v>
      </c>
      <c r="E126" s="91">
        <f>IF(B126="",0,SUMIF(D_Cle,B126,D_I))</f>
        <v>0</v>
      </c>
      <c r="F126" s="91">
        <f>IF(B126="",0,SUMIF(D_Cle,B126,D_CR))</f>
        <v>0</v>
      </c>
      <c r="G126" s="91">
        <f>IF(B126="",0,SUMIF(D_Cle,B126,D_CW))</f>
        <v>0</v>
      </c>
      <c r="H126" s="91">
        <f>IF(B126="",0,SUMIF(D_Cle,B126,D_O))</f>
        <v>0</v>
      </c>
      <c r="I126" s="92">
        <f>IF(B126="",0,SUMIF(D_Cle,B126,D_Brut))</f>
        <v>0</v>
      </c>
      <c r="J126" s="90">
        <f>IF(B126="",0,SUMIF(D_Cle,B126,D_C2))</f>
        <v>0</v>
      </c>
      <c r="K126" s="92">
        <f>IF(AND(B126&lt;&gt;"",N(Calcul!L94)&gt;0),(Calcul!I94*(E126-F126-G126)+N(Calcul!J94)*F126+IF(Calcul!K94="",Calcul!I94,Calcul!K94)*G126+N(Calcul!L94)*H126)/1000000,0)</f>
        <v>0</v>
      </c>
      <c r="L126" s="92">
        <f>IF(AND(B126&lt;&gt;"",N(Calcul!L94)&gt;0),(Calcul!I94*(E126-F126)+N(Calcul!J94)*F126+IF(Calcul!K94="",Calcul!I94,Calcul!K94)*G126+N(Calcul!L94)*H126)/1000000,0)</f>
        <v>0</v>
      </c>
      <c r="M126" s="92">
        <f>IF(AND(B126&lt;&gt;"",N(Calcul!L94)&gt;0),(Calcul!I94*E126+N(Calcul!J94)*F126+IF(Calcul!K94="",Calcul!I94,Calcul!K94)*G126+N(Calcul!L94)*H126)/1000000,0)</f>
        <v>0</v>
      </c>
      <c r="N126" s="93" t="str">
        <f>IF(K126&gt;0,I126/K126,"")</f>
        <v/>
      </c>
      <c r="O126" s="93" t="str">
        <f>IF(L126&gt;0,I126/L126,"")</f>
        <v/>
      </c>
      <c r="P126" s="93" t="str">
        <f>IF(M126&gt;0,I126/M126,"")</f>
        <v/>
      </c>
      <c r="Q126" s="89" t="str">
        <f>IF(B126="","",Calcul!E94)</f>
        <v/>
      </c>
      <c r="R126" s="92">
        <f>IF(AND(B126&lt;&gt;"",N(Calcul!L94)&gt;0),(Calcul!I94*(E126-Calcul!G94*F126-Calcul!H94*G126)+N(Calcul!J94)*F126+IF(Calcul!K94="",Calcul!I94,Calcul!K94)*G126+N(Calcul!L94)*H126)/1000000,0)</f>
        <v>0</v>
      </c>
      <c r="S126" s="93" t="str">
        <f>IF(R126&gt;0,I126/R126,"")</f>
        <v/>
      </c>
      <c r="T126" s="89" t="str">
        <f>IF(OR(B126="",D126=0),"",IF(S126="","Sans tarif",IF(AND(S126&gt;=0.895,S126&lt;=1.005),"✓ Cohérent","⚠ Hors plage")))</f>
        <v/>
      </c>
      <c r="U126" s="89" t="str">
        <f>IF(B126="","",IFERROR(INDEX(K_FamDec,MATCH(C126,K_FamNom,0)),""))</f>
        <v/>
      </c>
    </row>
    <row r="127">
      <c r="B127" s="89" t="str">
        <f>IF(Calcul!B95="","",Calcul!B95)</f>
        <v/>
      </c>
      <c r="C127" s="89" t="str">
        <f>IF(B127="","",Calcul!C95)</f>
        <v/>
      </c>
      <c r="D127" s="90">
        <f>IF(B127="",0,COUNTIF(D_Cle,B127))</f>
        <v>0</v>
      </c>
      <c r="E127" s="91">
        <f>IF(B127="",0,SUMIF(D_Cle,B127,D_I))</f>
        <v>0</v>
      </c>
      <c r="F127" s="91">
        <f>IF(B127="",0,SUMIF(D_Cle,B127,D_CR))</f>
        <v>0</v>
      </c>
      <c r="G127" s="91">
        <f>IF(B127="",0,SUMIF(D_Cle,B127,D_CW))</f>
        <v>0</v>
      </c>
      <c r="H127" s="91">
        <f>IF(B127="",0,SUMIF(D_Cle,B127,D_O))</f>
        <v>0</v>
      </c>
      <c r="I127" s="92">
        <f>IF(B127="",0,SUMIF(D_Cle,B127,D_Brut))</f>
        <v>0</v>
      </c>
      <c r="J127" s="90">
        <f>IF(B127="",0,SUMIF(D_Cle,B127,D_C2))</f>
        <v>0</v>
      </c>
      <c r="K127" s="92">
        <f>IF(AND(B127&lt;&gt;"",N(Calcul!L95)&gt;0),(Calcul!I95*(E127-F127-G127)+N(Calcul!J95)*F127+IF(Calcul!K95="",Calcul!I95,Calcul!K95)*G127+N(Calcul!L95)*H127)/1000000,0)</f>
        <v>0</v>
      </c>
      <c r="L127" s="92">
        <f>IF(AND(B127&lt;&gt;"",N(Calcul!L95)&gt;0),(Calcul!I95*(E127-F127)+N(Calcul!J95)*F127+IF(Calcul!K95="",Calcul!I95,Calcul!K95)*G127+N(Calcul!L95)*H127)/1000000,0)</f>
        <v>0</v>
      </c>
      <c r="M127" s="92">
        <f>IF(AND(B127&lt;&gt;"",N(Calcul!L95)&gt;0),(Calcul!I95*E127+N(Calcul!J95)*F127+IF(Calcul!K95="",Calcul!I95,Calcul!K95)*G127+N(Calcul!L95)*H127)/1000000,0)</f>
        <v>0</v>
      </c>
      <c r="N127" s="93" t="str">
        <f>IF(K127&gt;0,I127/K127,"")</f>
        <v/>
      </c>
      <c r="O127" s="93" t="str">
        <f>IF(L127&gt;0,I127/L127,"")</f>
        <v/>
      </c>
      <c r="P127" s="93" t="str">
        <f>IF(M127&gt;0,I127/M127,"")</f>
        <v/>
      </c>
      <c r="Q127" s="89" t="str">
        <f>IF(B127="","",Calcul!E95)</f>
        <v/>
      </c>
      <c r="R127" s="92">
        <f>IF(AND(B127&lt;&gt;"",N(Calcul!L95)&gt;0),(Calcul!I95*(E127-Calcul!G95*F127-Calcul!H95*G127)+N(Calcul!J95)*F127+IF(Calcul!K95="",Calcul!I95,Calcul!K95)*G127+N(Calcul!L95)*H127)/1000000,0)</f>
        <v>0</v>
      </c>
      <c r="S127" s="93" t="str">
        <f>IF(R127&gt;0,I127/R127,"")</f>
        <v/>
      </c>
      <c r="T127" s="89" t="str">
        <f>IF(OR(B127="",D127=0),"",IF(S127="","Sans tarif",IF(AND(S127&gt;=0.895,S127&lt;=1.005),"✓ Cohérent","⚠ Hors plage")))</f>
        <v/>
      </c>
      <c r="U127" s="89" t="str">
        <f>IF(B127="","",IFERROR(INDEX(K_FamDec,MATCH(C127,K_FamNom,0)),""))</f>
        <v/>
      </c>
    </row>
    <row r="128">
      <c r="B128" s="89" t="str">
        <f>IF(Calcul!B96="","",Calcul!B96)</f>
        <v/>
      </c>
      <c r="C128" s="89" t="str">
        <f>IF(B128="","",Calcul!C96)</f>
        <v/>
      </c>
      <c r="D128" s="90">
        <f>IF(B128="",0,COUNTIF(D_Cle,B128))</f>
        <v>0</v>
      </c>
      <c r="E128" s="91">
        <f>IF(B128="",0,SUMIF(D_Cle,B128,D_I))</f>
        <v>0</v>
      </c>
      <c r="F128" s="91">
        <f>IF(B128="",0,SUMIF(D_Cle,B128,D_CR))</f>
        <v>0</v>
      </c>
      <c r="G128" s="91">
        <f>IF(B128="",0,SUMIF(D_Cle,B128,D_CW))</f>
        <v>0</v>
      </c>
      <c r="H128" s="91">
        <f>IF(B128="",0,SUMIF(D_Cle,B128,D_O))</f>
        <v>0</v>
      </c>
      <c r="I128" s="92">
        <f>IF(B128="",0,SUMIF(D_Cle,B128,D_Brut))</f>
        <v>0</v>
      </c>
      <c r="J128" s="90">
        <f>IF(B128="",0,SUMIF(D_Cle,B128,D_C2))</f>
        <v>0</v>
      </c>
      <c r="K128" s="92">
        <f>IF(AND(B128&lt;&gt;"",N(Calcul!L96)&gt;0),(Calcul!I96*(E128-F128-G128)+N(Calcul!J96)*F128+IF(Calcul!K96="",Calcul!I96,Calcul!K96)*G128+N(Calcul!L96)*H128)/1000000,0)</f>
        <v>0</v>
      </c>
      <c r="L128" s="92">
        <f>IF(AND(B128&lt;&gt;"",N(Calcul!L96)&gt;0),(Calcul!I96*(E128-F128)+N(Calcul!J96)*F128+IF(Calcul!K96="",Calcul!I96,Calcul!K96)*G128+N(Calcul!L96)*H128)/1000000,0)</f>
        <v>0</v>
      </c>
      <c r="M128" s="92">
        <f>IF(AND(B128&lt;&gt;"",N(Calcul!L96)&gt;0),(Calcul!I96*E128+N(Calcul!J96)*F128+IF(Calcul!K96="",Calcul!I96,Calcul!K96)*G128+N(Calcul!L96)*H128)/1000000,0)</f>
        <v>0</v>
      </c>
      <c r="N128" s="93" t="str">
        <f>IF(K128&gt;0,I128/K128,"")</f>
        <v/>
      </c>
      <c r="O128" s="93" t="str">
        <f>IF(L128&gt;0,I128/L128,"")</f>
        <v/>
      </c>
      <c r="P128" s="93" t="str">
        <f>IF(M128&gt;0,I128/M128,"")</f>
        <v/>
      </c>
      <c r="Q128" s="89" t="str">
        <f>IF(B128="","",Calcul!E96)</f>
        <v/>
      </c>
      <c r="R128" s="92">
        <f>IF(AND(B128&lt;&gt;"",N(Calcul!L96)&gt;0),(Calcul!I96*(E128-Calcul!G96*F128-Calcul!H96*G128)+N(Calcul!J96)*F128+IF(Calcul!K96="",Calcul!I96,Calcul!K96)*G128+N(Calcul!L96)*H128)/1000000,0)</f>
        <v>0</v>
      </c>
      <c r="S128" s="93" t="str">
        <f>IF(R128&gt;0,I128/R128,"")</f>
        <v/>
      </c>
      <c r="T128" s="89" t="str">
        <f>IF(OR(B128="",D128=0),"",IF(S128="","Sans tarif",IF(AND(S128&gt;=0.895,S128&lt;=1.005),"✓ Cohérent","⚠ Hors plage")))</f>
        <v/>
      </c>
      <c r="U128" s="89" t="str">
        <f>IF(B128="","",IFERROR(INDEX(K_FamDec,MATCH(C128,K_FamNom,0)),""))</f>
        <v/>
      </c>
    </row>
    <row r="129">
      <c r="B129" s="89" t="str">
        <f>IF(Calcul!B97="","",Calcul!B97)</f>
        <v/>
      </c>
      <c r="C129" s="89" t="str">
        <f>IF(B129="","",Calcul!C97)</f>
        <v/>
      </c>
      <c r="D129" s="90">
        <f>IF(B129="",0,COUNTIF(D_Cle,B129))</f>
        <v>0</v>
      </c>
      <c r="E129" s="91">
        <f>IF(B129="",0,SUMIF(D_Cle,B129,D_I))</f>
        <v>0</v>
      </c>
      <c r="F129" s="91">
        <f>IF(B129="",0,SUMIF(D_Cle,B129,D_CR))</f>
        <v>0</v>
      </c>
      <c r="G129" s="91">
        <f>IF(B129="",0,SUMIF(D_Cle,B129,D_CW))</f>
        <v>0</v>
      </c>
      <c r="H129" s="91">
        <f>IF(B129="",0,SUMIF(D_Cle,B129,D_O))</f>
        <v>0</v>
      </c>
      <c r="I129" s="92">
        <f>IF(B129="",0,SUMIF(D_Cle,B129,D_Brut))</f>
        <v>0</v>
      </c>
      <c r="J129" s="90">
        <f>IF(B129="",0,SUMIF(D_Cle,B129,D_C2))</f>
        <v>0</v>
      </c>
      <c r="K129" s="92">
        <f>IF(AND(B129&lt;&gt;"",N(Calcul!L97)&gt;0),(Calcul!I97*(E129-F129-G129)+N(Calcul!J97)*F129+IF(Calcul!K97="",Calcul!I97,Calcul!K97)*G129+N(Calcul!L97)*H129)/1000000,0)</f>
        <v>0</v>
      </c>
      <c r="L129" s="92">
        <f>IF(AND(B129&lt;&gt;"",N(Calcul!L97)&gt;0),(Calcul!I97*(E129-F129)+N(Calcul!J97)*F129+IF(Calcul!K97="",Calcul!I97,Calcul!K97)*G129+N(Calcul!L97)*H129)/1000000,0)</f>
        <v>0</v>
      </c>
      <c r="M129" s="92">
        <f>IF(AND(B129&lt;&gt;"",N(Calcul!L97)&gt;0),(Calcul!I97*E129+N(Calcul!J97)*F129+IF(Calcul!K97="",Calcul!I97,Calcul!K97)*G129+N(Calcul!L97)*H129)/1000000,0)</f>
        <v>0</v>
      </c>
      <c r="N129" s="93" t="str">
        <f>IF(K129&gt;0,I129/K129,"")</f>
        <v/>
      </c>
      <c r="O129" s="93" t="str">
        <f>IF(L129&gt;0,I129/L129,"")</f>
        <v/>
      </c>
      <c r="P129" s="93" t="str">
        <f>IF(M129&gt;0,I129/M129,"")</f>
        <v/>
      </c>
      <c r="Q129" s="89" t="str">
        <f>IF(B129="","",Calcul!E97)</f>
        <v/>
      </c>
      <c r="R129" s="92">
        <f>IF(AND(B129&lt;&gt;"",N(Calcul!L97)&gt;0),(Calcul!I97*(E129-Calcul!G97*F129-Calcul!H97*G129)+N(Calcul!J97)*F129+IF(Calcul!K97="",Calcul!I97,Calcul!K97)*G129+N(Calcul!L97)*H129)/1000000,0)</f>
        <v>0</v>
      </c>
      <c r="S129" s="93" t="str">
        <f>IF(R129&gt;0,I129/R129,"")</f>
        <v/>
      </c>
      <c r="T129" s="89" t="str">
        <f>IF(OR(B129="",D129=0),"",IF(S129="","Sans tarif",IF(AND(S129&gt;=0.895,S129&lt;=1.005),"✓ Cohérent","⚠ Hors plage")))</f>
        <v/>
      </c>
      <c r="U129" s="89" t="str">
        <f>IF(B129="","",IFERROR(INDEX(K_FamDec,MATCH(C129,K_FamNom,0)),""))</f>
        <v/>
      </c>
    </row>
    <row r="130">
      <c r="B130" s="89" t="str">
        <f>IF(Calcul!B98="","",Calcul!B98)</f>
        <v/>
      </c>
      <c r="C130" s="89" t="str">
        <f>IF(B130="","",Calcul!C98)</f>
        <v/>
      </c>
      <c r="D130" s="90">
        <f>IF(B130="",0,COUNTIF(D_Cle,B130))</f>
        <v>0</v>
      </c>
      <c r="E130" s="91">
        <f>IF(B130="",0,SUMIF(D_Cle,B130,D_I))</f>
        <v>0</v>
      </c>
      <c r="F130" s="91">
        <f>IF(B130="",0,SUMIF(D_Cle,B130,D_CR))</f>
        <v>0</v>
      </c>
      <c r="G130" s="91">
        <f>IF(B130="",0,SUMIF(D_Cle,B130,D_CW))</f>
        <v>0</v>
      </c>
      <c r="H130" s="91">
        <f>IF(B130="",0,SUMIF(D_Cle,B130,D_O))</f>
        <v>0</v>
      </c>
      <c r="I130" s="92">
        <f>IF(B130="",0,SUMIF(D_Cle,B130,D_Brut))</f>
        <v>0</v>
      </c>
      <c r="J130" s="90">
        <f>IF(B130="",0,SUMIF(D_Cle,B130,D_C2))</f>
        <v>0</v>
      </c>
      <c r="K130" s="92">
        <f>IF(AND(B130&lt;&gt;"",N(Calcul!L98)&gt;0),(Calcul!I98*(E130-F130-G130)+N(Calcul!J98)*F130+IF(Calcul!K98="",Calcul!I98,Calcul!K98)*G130+N(Calcul!L98)*H130)/1000000,0)</f>
        <v>0</v>
      </c>
      <c r="L130" s="92">
        <f>IF(AND(B130&lt;&gt;"",N(Calcul!L98)&gt;0),(Calcul!I98*(E130-F130)+N(Calcul!J98)*F130+IF(Calcul!K98="",Calcul!I98,Calcul!K98)*G130+N(Calcul!L98)*H130)/1000000,0)</f>
        <v>0</v>
      </c>
      <c r="M130" s="92">
        <f>IF(AND(B130&lt;&gt;"",N(Calcul!L98)&gt;0),(Calcul!I98*E130+N(Calcul!J98)*F130+IF(Calcul!K98="",Calcul!I98,Calcul!K98)*G130+N(Calcul!L98)*H130)/1000000,0)</f>
        <v>0</v>
      </c>
      <c r="N130" s="93" t="str">
        <f>IF(K130&gt;0,I130/K130,"")</f>
        <v/>
      </c>
      <c r="O130" s="93" t="str">
        <f>IF(L130&gt;0,I130/L130,"")</f>
        <v/>
      </c>
      <c r="P130" s="93" t="str">
        <f>IF(M130&gt;0,I130/M130,"")</f>
        <v/>
      </c>
      <c r="Q130" s="89" t="str">
        <f>IF(B130="","",Calcul!E98)</f>
        <v/>
      </c>
      <c r="R130" s="92">
        <f>IF(AND(B130&lt;&gt;"",N(Calcul!L98)&gt;0),(Calcul!I98*(E130-Calcul!G98*F130-Calcul!H98*G130)+N(Calcul!J98)*F130+IF(Calcul!K98="",Calcul!I98,Calcul!K98)*G130+N(Calcul!L98)*H130)/1000000,0)</f>
        <v>0</v>
      </c>
      <c r="S130" s="93" t="str">
        <f>IF(R130&gt;0,I130/R130,"")</f>
        <v/>
      </c>
      <c r="T130" s="89" t="str">
        <f>IF(OR(B130="",D130=0),"",IF(S130="","Sans tarif",IF(AND(S130&gt;=0.895,S130&lt;=1.005),"✓ Cohérent","⚠ Hors plage")))</f>
        <v/>
      </c>
      <c r="U130" s="89" t="str">
        <f>IF(B130="","",IFERROR(INDEX(K_FamDec,MATCH(C130,K_FamNom,0)),""))</f>
        <v/>
      </c>
    </row>
    <row r="131">
      <c r="B131" s="89" t="str">
        <f>IF(Calcul!B99="","",Calcul!B99)</f>
        <v/>
      </c>
      <c r="C131" s="89" t="str">
        <f>IF(B131="","",Calcul!C99)</f>
        <v/>
      </c>
      <c r="D131" s="90">
        <f>IF(B131="",0,COUNTIF(D_Cle,B131))</f>
        <v>0</v>
      </c>
      <c r="E131" s="91">
        <f>IF(B131="",0,SUMIF(D_Cle,B131,D_I))</f>
        <v>0</v>
      </c>
      <c r="F131" s="91">
        <f>IF(B131="",0,SUMIF(D_Cle,B131,D_CR))</f>
        <v>0</v>
      </c>
      <c r="G131" s="91">
        <f>IF(B131="",0,SUMIF(D_Cle,B131,D_CW))</f>
        <v>0</v>
      </c>
      <c r="H131" s="91">
        <f>IF(B131="",0,SUMIF(D_Cle,B131,D_O))</f>
        <v>0</v>
      </c>
      <c r="I131" s="92">
        <f>IF(B131="",0,SUMIF(D_Cle,B131,D_Brut))</f>
        <v>0</v>
      </c>
      <c r="J131" s="90">
        <f>IF(B131="",0,SUMIF(D_Cle,B131,D_C2))</f>
        <v>0</v>
      </c>
      <c r="K131" s="92">
        <f>IF(AND(B131&lt;&gt;"",N(Calcul!L99)&gt;0),(Calcul!I99*(E131-F131-G131)+N(Calcul!J99)*F131+IF(Calcul!K99="",Calcul!I99,Calcul!K99)*G131+N(Calcul!L99)*H131)/1000000,0)</f>
        <v>0</v>
      </c>
      <c r="L131" s="92">
        <f>IF(AND(B131&lt;&gt;"",N(Calcul!L99)&gt;0),(Calcul!I99*(E131-F131)+N(Calcul!J99)*F131+IF(Calcul!K99="",Calcul!I99,Calcul!K99)*G131+N(Calcul!L99)*H131)/1000000,0)</f>
        <v>0</v>
      </c>
      <c r="M131" s="92">
        <f>IF(AND(B131&lt;&gt;"",N(Calcul!L99)&gt;0),(Calcul!I99*E131+N(Calcul!J99)*F131+IF(Calcul!K99="",Calcul!I99,Calcul!K99)*G131+N(Calcul!L99)*H131)/1000000,0)</f>
        <v>0</v>
      </c>
      <c r="N131" s="93" t="str">
        <f>IF(K131&gt;0,I131/K131,"")</f>
        <v/>
      </c>
      <c r="O131" s="93" t="str">
        <f>IF(L131&gt;0,I131/L131,"")</f>
        <v/>
      </c>
      <c r="P131" s="93" t="str">
        <f>IF(M131&gt;0,I131/M131,"")</f>
        <v/>
      </c>
      <c r="Q131" s="89" t="str">
        <f>IF(B131="","",Calcul!E99)</f>
        <v/>
      </c>
      <c r="R131" s="92">
        <f>IF(AND(B131&lt;&gt;"",N(Calcul!L99)&gt;0),(Calcul!I99*(E131-Calcul!G99*F131-Calcul!H99*G131)+N(Calcul!J99)*F131+IF(Calcul!K99="",Calcul!I99,Calcul!K99)*G131+N(Calcul!L99)*H131)/1000000,0)</f>
        <v>0</v>
      </c>
      <c r="S131" s="93" t="str">
        <f>IF(R131&gt;0,I131/R131,"")</f>
        <v/>
      </c>
      <c r="T131" s="89" t="str">
        <f>IF(OR(B131="",D131=0),"",IF(S131="","Sans tarif",IF(AND(S131&gt;=0.895,S131&lt;=1.005),"✓ Cohérent","⚠ Hors plage")))</f>
        <v/>
      </c>
      <c r="U131" s="89" t="str">
        <f>IF(B131="","",IFERROR(INDEX(K_FamDec,MATCH(C131,K_FamNom,0)),""))</f>
        <v/>
      </c>
    </row>
    <row r="132">
      <c r="B132" s="89" t="str">
        <f>IF(Calcul!B100="","",Calcul!B100)</f>
        <v/>
      </c>
      <c r="C132" s="89" t="str">
        <f>IF(B132="","",Calcul!C100)</f>
        <v/>
      </c>
      <c r="D132" s="90">
        <f>IF(B132="",0,COUNTIF(D_Cle,B132))</f>
        <v>0</v>
      </c>
      <c r="E132" s="91">
        <f>IF(B132="",0,SUMIF(D_Cle,B132,D_I))</f>
        <v>0</v>
      </c>
      <c r="F132" s="91">
        <f>IF(B132="",0,SUMIF(D_Cle,B132,D_CR))</f>
        <v>0</v>
      </c>
      <c r="G132" s="91">
        <f>IF(B132="",0,SUMIF(D_Cle,B132,D_CW))</f>
        <v>0</v>
      </c>
      <c r="H132" s="91">
        <f>IF(B132="",0,SUMIF(D_Cle,B132,D_O))</f>
        <v>0</v>
      </c>
      <c r="I132" s="92">
        <f>IF(B132="",0,SUMIF(D_Cle,B132,D_Brut))</f>
        <v>0</v>
      </c>
      <c r="J132" s="90">
        <f>IF(B132="",0,SUMIF(D_Cle,B132,D_C2))</f>
        <v>0</v>
      </c>
      <c r="K132" s="92">
        <f>IF(AND(B132&lt;&gt;"",N(Calcul!L100)&gt;0),(Calcul!I100*(E132-F132-G132)+N(Calcul!J100)*F132+IF(Calcul!K100="",Calcul!I100,Calcul!K100)*G132+N(Calcul!L100)*H132)/1000000,0)</f>
        <v>0</v>
      </c>
      <c r="L132" s="92">
        <f>IF(AND(B132&lt;&gt;"",N(Calcul!L100)&gt;0),(Calcul!I100*(E132-F132)+N(Calcul!J100)*F132+IF(Calcul!K100="",Calcul!I100,Calcul!K100)*G132+N(Calcul!L100)*H132)/1000000,0)</f>
        <v>0</v>
      </c>
      <c r="M132" s="92">
        <f>IF(AND(B132&lt;&gt;"",N(Calcul!L100)&gt;0),(Calcul!I100*E132+N(Calcul!J100)*F132+IF(Calcul!K100="",Calcul!I100,Calcul!K100)*G132+N(Calcul!L100)*H132)/1000000,0)</f>
        <v>0</v>
      </c>
      <c r="N132" s="93" t="str">
        <f>IF(K132&gt;0,I132/K132,"")</f>
        <v/>
      </c>
      <c r="O132" s="93" t="str">
        <f>IF(L132&gt;0,I132/L132,"")</f>
        <v/>
      </c>
      <c r="P132" s="93" t="str">
        <f>IF(M132&gt;0,I132/M132,"")</f>
        <v/>
      </c>
      <c r="Q132" s="89" t="str">
        <f>IF(B132="","",Calcul!E100)</f>
        <v/>
      </c>
      <c r="R132" s="92">
        <f>IF(AND(B132&lt;&gt;"",N(Calcul!L100)&gt;0),(Calcul!I100*(E132-Calcul!G100*F132-Calcul!H100*G132)+N(Calcul!J100)*F132+IF(Calcul!K100="",Calcul!I100,Calcul!K100)*G132+N(Calcul!L100)*H132)/1000000,0)</f>
        <v>0</v>
      </c>
      <c r="S132" s="93" t="str">
        <f>IF(R132&gt;0,I132/R132,"")</f>
        <v/>
      </c>
      <c r="T132" s="89" t="str">
        <f>IF(OR(B132="",D132=0),"",IF(S132="","Sans tarif",IF(AND(S132&gt;=0.895,S132&lt;=1.005),"✓ Cohérent","⚠ Hors plage")))</f>
        <v/>
      </c>
      <c r="U132" s="89" t="str">
        <f>IF(B132="","",IFERROR(INDEX(K_FamDec,MATCH(C132,K_FamNom,0)),""))</f>
        <v/>
      </c>
    </row>
    <row r="133">
      <c r="B133" s="89" t="str">
        <f>IF(Calcul!B101="","",Calcul!B101)</f>
        <v/>
      </c>
      <c r="C133" s="89" t="str">
        <f>IF(B133="","",Calcul!C101)</f>
        <v/>
      </c>
      <c r="D133" s="90">
        <f>IF(B133="",0,COUNTIF(D_Cle,B133))</f>
        <v>0</v>
      </c>
      <c r="E133" s="91">
        <f>IF(B133="",0,SUMIF(D_Cle,B133,D_I))</f>
        <v>0</v>
      </c>
      <c r="F133" s="91">
        <f>IF(B133="",0,SUMIF(D_Cle,B133,D_CR))</f>
        <v>0</v>
      </c>
      <c r="G133" s="91">
        <f>IF(B133="",0,SUMIF(D_Cle,B133,D_CW))</f>
        <v>0</v>
      </c>
      <c r="H133" s="91">
        <f>IF(B133="",0,SUMIF(D_Cle,B133,D_O))</f>
        <v>0</v>
      </c>
      <c r="I133" s="92">
        <f>IF(B133="",0,SUMIF(D_Cle,B133,D_Brut))</f>
        <v>0</v>
      </c>
      <c r="J133" s="90">
        <f>IF(B133="",0,SUMIF(D_Cle,B133,D_C2))</f>
        <v>0</v>
      </c>
      <c r="K133" s="92">
        <f>IF(AND(B133&lt;&gt;"",N(Calcul!L101)&gt;0),(Calcul!I101*(E133-F133-G133)+N(Calcul!J101)*F133+IF(Calcul!K101="",Calcul!I101,Calcul!K101)*G133+N(Calcul!L101)*H133)/1000000,0)</f>
        <v>0</v>
      </c>
      <c r="L133" s="92">
        <f>IF(AND(B133&lt;&gt;"",N(Calcul!L101)&gt;0),(Calcul!I101*(E133-F133)+N(Calcul!J101)*F133+IF(Calcul!K101="",Calcul!I101,Calcul!K101)*G133+N(Calcul!L101)*H133)/1000000,0)</f>
        <v>0</v>
      </c>
      <c r="M133" s="92">
        <f>IF(AND(B133&lt;&gt;"",N(Calcul!L101)&gt;0),(Calcul!I101*E133+N(Calcul!J101)*F133+IF(Calcul!K101="",Calcul!I101,Calcul!K101)*G133+N(Calcul!L101)*H133)/1000000,0)</f>
        <v>0</v>
      </c>
      <c r="N133" s="93" t="str">
        <f>IF(K133&gt;0,I133/K133,"")</f>
        <v/>
      </c>
      <c r="O133" s="93" t="str">
        <f>IF(L133&gt;0,I133/L133,"")</f>
        <v/>
      </c>
      <c r="P133" s="93" t="str">
        <f>IF(M133&gt;0,I133/M133,"")</f>
        <v/>
      </c>
      <c r="Q133" s="89" t="str">
        <f>IF(B133="","",Calcul!E101)</f>
        <v/>
      </c>
      <c r="R133" s="92">
        <f>IF(AND(B133&lt;&gt;"",N(Calcul!L101)&gt;0),(Calcul!I101*(E133-Calcul!G101*F133-Calcul!H101*G133)+N(Calcul!J101)*F133+IF(Calcul!K101="",Calcul!I101,Calcul!K101)*G133+N(Calcul!L101)*H133)/1000000,0)</f>
        <v>0</v>
      </c>
      <c r="S133" s="93" t="str">
        <f>IF(R133&gt;0,I133/R133,"")</f>
        <v/>
      </c>
      <c r="T133" s="89" t="str">
        <f>IF(OR(B133="",D133=0),"",IF(S133="","Sans tarif",IF(AND(S133&gt;=0.895,S133&lt;=1.005),"✓ Cohérent","⚠ Hors plage")))</f>
        <v/>
      </c>
      <c r="U133" s="89" t="str">
        <f>IF(B133="","",IFERROR(INDEX(K_FamDec,MATCH(C133,K_FamNom,0)),""))</f>
        <v/>
      </c>
    </row>
    <row r="134">
      <c r="B134" s="89" t="str">
        <f>IF(Calcul!B102="","",Calcul!B102)</f>
        <v/>
      </c>
      <c r="C134" s="89" t="str">
        <f>IF(B134="","",Calcul!C102)</f>
        <v/>
      </c>
      <c r="D134" s="90">
        <f>IF(B134="",0,COUNTIF(D_Cle,B134))</f>
        <v>0</v>
      </c>
      <c r="E134" s="91">
        <f>IF(B134="",0,SUMIF(D_Cle,B134,D_I))</f>
        <v>0</v>
      </c>
      <c r="F134" s="91">
        <f>IF(B134="",0,SUMIF(D_Cle,B134,D_CR))</f>
        <v>0</v>
      </c>
      <c r="G134" s="91">
        <f>IF(B134="",0,SUMIF(D_Cle,B134,D_CW))</f>
        <v>0</v>
      </c>
      <c r="H134" s="91">
        <f>IF(B134="",0,SUMIF(D_Cle,B134,D_O))</f>
        <v>0</v>
      </c>
      <c r="I134" s="92">
        <f>IF(B134="",0,SUMIF(D_Cle,B134,D_Brut))</f>
        <v>0</v>
      </c>
      <c r="J134" s="90">
        <f>IF(B134="",0,SUMIF(D_Cle,B134,D_C2))</f>
        <v>0</v>
      </c>
      <c r="K134" s="92">
        <f>IF(AND(B134&lt;&gt;"",N(Calcul!L102)&gt;0),(Calcul!I102*(E134-F134-G134)+N(Calcul!J102)*F134+IF(Calcul!K102="",Calcul!I102,Calcul!K102)*G134+N(Calcul!L102)*H134)/1000000,0)</f>
        <v>0</v>
      </c>
      <c r="L134" s="92">
        <f>IF(AND(B134&lt;&gt;"",N(Calcul!L102)&gt;0),(Calcul!I102*(E134-F134)+N(Calcul!J102)*F134+IF(Calcul!K102="",Calcul!I102,Calcul!K102)*G134+N(Calcul!L102)*H134)/1000000,0)</f>
        <v>0</v>
      </c>
      <c r="M134" s="92">
        <f>IF(AND(B134&lt;&gt;"",N(Calcul!L102)&gt;0),(Calcul!I102*E134+N(Calcul!J102)*F134+IF(Calcul!K102="",Calcul!I102,Calcul!K102)*G134+N(Calcul!L102)*H134)/1000000,0)</f>
        <v>0</v>
      </c>
      <c r="N134" s="93" t="str">
        <f>IF(K134&gt;0,I134/K134,"")</f>
        <v/>
      </c>
      <c r="O134" s="93" t="str">
        <f>IF(L134&gt;0,I134/L134,"")</f>
        <v/>
      </c>
      <c r="P134" s="93" t="str">
        <f>IF(M134&gt;0,I134/M134,"")</f>
        <v/>
      </c>
      <c r="Q134" s="89" t="str">
        <f>IF(B134="","",Calcul!E102)</f>
        <v/>
      </c>
      <c r="R134" s="92">
        <f>IF(AND(B134&lt;&gt;"",N(Calcul!L102)&gt;0),(Calcul!I102*(E134-Calcul!G102*F134-Calcul!H102*G134)+N(Calcul!J102)*F134+IF(Calcul!K102="",Calcul!I102,Calcul!K102)*G134+N(Calcul!L102)*H134)/1000000,0)</f>
        <v>0</v>
      </c>
      <c r="S134" s="93" t="str">
        <f>IF(R134&gt;0,I134/R134,"")</f>
        <v/>
      </c>
      <c r="T134" s="89" t="str">
        <f>IF(OR(B134="",D134=0),"",IF(S134="","Sans tarif",IF(AND(S134&gt;=0.895,S134&lt;=1.005),"✓ Cohérent","⚠ Hors plage")))</f>
        <v/>
      </c>
      <c r="U134" s="89" t="str">
        <f>IF(B134="","",IFERROR(INDEX(K_FamDec,MATCH(C134,K_FamNom,0)),""))</f>
        <v/>
      </c>
    </row>
    <row r="135">
      <c r="B135" s="89" t="str">
        <f>IF(Calcul!B103="","",Calcul!B103)</f>
        <v/>
      </c>
      <c r="C135" s="89" t="str">
        <f>IF(B135="","",Calcul!C103)</f>
        <v/>
      </c>
      <c r="D135" s="90">
        <f>IF(B135="",0,COUNTIF(D_Cle,B135))</f>
        <v>0</v>
      </c>
      <c r="E135" s="91">
        <f>IF(B135="",0,SUMIF(D_Cle,B135,D_I))</f>
        <v>0</v>
      </c>
      <c r="F135" s="91">
        <f>IF(B135="",0,SUMIF(D_Cle,B135,D_CR))</f>
        <v>0</v>
      </c>
      <c r="G135" s="91">
        <f>IF(B135="",0,SUMIF(D_Cle,B135,D_CW))</f>
        <v>0</v>
      </c>
      <c r="H135" s="91">
        <f>IF(B135="",0,SUMIF(D_Cle,B135,D_O))</f>
        <v>0</v>
      </c>
      <c r="I135" s="92">
        <f>IF(B135="",0,SUMIF(D_Cle,B135,D_Brut))</f>
        <v>0</v>
      </c>
      <c r="J135" s="90">
        <f>IF(B135="",0,SUMIF(D_Cle,B135,D_C2))</f>
        <v>0</v>
      </c>
      <c r="K135" s="92">
        <f>IF(AND(B135&lt;&gt;"",N(Calcul!L103)&gt;0),(Calcul!I103*(E135-F135-G135)+N(Calcul!J103)*F135+IF(Calcul!K103="",Calcul!I103,Calcul!K103)*G135+N(Calcul!L103)*H135)/1000000,0)</f>
        <v>0</v>
      </c>
      <c r="L135" s="92">
        <f>IF(AND(B135&lt;&gt;"",N(Calcul!L103)&gt;0),(Calcul!I103*(E135-F135)+N(Calcul!J103)*F135+IF(Calcul!K103="",Calcul!I103,Calcul!K103)*G135+N(Calcul!L103)*H135)/1000000,0)</f>
        <v>0</v>
      </c>
      <c r="M135" s="92">
        <f>IF(AND(B135&lt;&gt;"",N(Calcul!L103)&gt;0),(Calcul!I103*E135+N(Calcul!J103)*F135+IF(Calcul!K103="",Calcul!I103,Calcul!K103)*G135+N(Calcul!L103)*H135)/1000000,0)</f>
        <v>0</v>
      </c>
      <c r="N135" s="93" t="str">
        <f>IF(K135&gt;0,I135/K135,"")</f>
        <v/>
      </c>
      <c r="O135" s="93" t="str">
        <f>IF(L135&gt;0,I135/L135,"")</f>
        <v/>
      </c>
      <c r="P135" s="93" t="str">
        <f>IF(M135&gt;0,I135/M135,"")</f>
        <v/>
      </c>
      <c r="Q135" s="89" t="str">
        <f>IF(B135="","",Calcul!E103)</f>
        <v/>
      </c>
      <c r="R135" s="92">
        <f>IF(AND(B135&lt;&gt;"",N(Calcul!L103)&gt;0),(Calcul!I103*(E135-Calcul!G103*F135-Calcul!H103*G135)+N(Calcul!J103)*F135+IF(Calcul!K103="",Calcul!I103,Calcul!K103)*G135+N(Calcul!L103)*H135)/1000000,0)</f>
        <v>0</v>
      </c>
      <c r="S135" s="93" t="str">
        <f>IF(R135&gt;0,I135/R135,"")</f>
        <v/>
      </c>
      <c r="T135" s="89" t="str">
        <f>IF(OR(B135="",D135=0),"",IF(S135="","Sans tarif",IF(AND(S135&gt;=0.895,S135&lt;=1.005),"✓ Cohérent","⚠ Hors plage")))</f>
        <v/>
      </c>
      <c r="U135" s="89" t="str">
        <f>IF(B135="","",IFERROR(INDEX(K_FamDec,MATCH(C135,K_FamNom,0)),""))</f>
        <v/>
      </c>
    </row>
    <row r="136">
      <c r="B136" s="89" t="str">
        <f>IF(Calcul!B104="","",Calcul!B104)</f>
        <v/>
      </c>
      <c r="C136" s="89" t="str">
        <f>IF(B136="","",Calcul!C104)</f>
        <v/>
      </c>
      <c r="D136" s="90">
        <f>IF(B136="",0,COUNTIF(D_Cle,B136))</f>
        <v>0</v>
      </c>
      <c r="E136" s="91">
        <f>IF(B136="",0,SUMIF(D_Cle,B136,D_I))</f>
        <v>0</v>
      </c>
      <c r="F136" s="91">
        <f>IF(B136="",0,SUMIF(D_Cle,B136,D_CR))</f>
        <v>0</v>
      </c>
      <c r="G136" s="91">
        <f>IF(B136="",0,SUMIF(D_Cle,B136,D_CW))</f>
        <v>0</v>
      </c>
      <c r="H136" s="91">
        <f>IF(B136="",0,SUMIF(D_Cle,B136,D_O))</f>
        <v>0</v>
      </c>
      <c r="I136" s="92">
        <f>IF(B136="",0,SUMIF(D_Cle,B136,D_Brut))</f>
        <v>0</v>
      </c>
      <c r="J136" s="90">
        <f>IF(B136="",0,SUMIF(D_Cle,B136,D_C2))</f>
        <v>0</v>
      </c>
      <c r="K136" s="92">
        <f>IF(AND(B136&lt;&gt;"",N(Calcul!L104)&gt;0),(Calcul!I104*(E136-F136-G136)+N(Calcul!J104)*F136+IF(Calcul!K104="",Calcul!I104,Calcul!K104)*G136+N(Calcul!L104)*H136)/1000000,0)</f>
        <v>0</v>
      </c>
      <c r="L136" s="92">
        <f>IF(AND(B136&lt;&gt;"",N(Calcul!L104)&gt;0),(Calcul!I104*(E136-F136)+N(Calcul!J104)*F136+IF(Calcul!K104="",Calcul!I104,Calcul!K104)*G136+N(Calcul!L104)*H136)/1000000,0)</f>
        <v>0</v>
      </c>
      <c r="M136" s="92">
        <f>IF(AND(B136&lt;&gt;"",N(Calcul!L104)&gt;0),(Calcul!I104*E136+N(Calcul!J104)*F136+IF(Calcul!K104="",Calcul!I104,Calcul!K104)*G136+N(Calcul!L104)*H136)/1000000,0)</f>
        <v>0</v>
      </c>
      <c r="N136" s="93" t="str">
        <f>IF(K136&gt;0,I136/K136,"")</f>
        <v/>
      </c>
      <c r="O136" s="93" t="str">
        <f>IF(L136&gt;0,I136/L136,"")</f>
        <v/>
      </c>
      <c r="P136" s="93" t="str">
        <f>IF(M136&gt;0,I136/M136,"")</f>
        <v/>
      </c>
      <c r="Q136" s="89" t="str">
        <f>IF(B136="","",Calcul!E104)</f>
        <v/>
      </c>
      <c r="R136" s="92">
        <f>IF(AND(B136&lt;&gt;"",N(Calcul!L104)&gt;0),(Calcul!I104*(E136-Calcul!G104*F136-Calcul!H104*G136)+N(Calcul!J104)*F136+IF(Calcul!K104="",Calcul!I104,Calcul!K104)*G136+N(Calcul!L104)*H136)/1000000,0)</f>
        <v>0</v>
      </c>
      <c r="S136" s="93" t="str">
        <f>IF(R136&gt;0,I136/R136,"")</f>
        <v/>
      </c>
      <c r="T136" s="89" t="str">
        <f>IF(OR(B136="",D136=0),"",IF(S136="","Sans tarif",IF(AND(S136&gt;=0.895,S136&lt;=1.005),"✓ Cohérent","⚠ Hors plage")))</f>
        <v/>
      </c>
      <c r="U136" s="89" t="str">
        <f>IF(B136="","",IFERROR(INDEX(K_FamDec,MATCH(C136,K_FamNom,0)),""))</f>
        <v/>
      </c>
    </row>
    <row r="137">
      <c r="B137" s="89" t="str">
        <f>IF(Calcul!B105="","",Calcul!B105)</f>
        <v/>
      </c>
      <c r="C137" s="89" t="str">
        <f>IF(B137="","",Calcul!C105)</f>
        <v/>
      </c>
      <c r="D137" s="90">
        <f>IF(B137="",0,COUNTIF(D_Cle,B137))</f>
        <v>0</v>
      </c>
      <c r="E137" s="91">
        <f>IF(B137="",0,SUMIF(D_Cle,B137,D_I))</f>
        <v>0</v>
      </c>
      <c r="F137" s="91">
        <f>IF(B137="",0,SUMIF(D_Cle,B137,D_CR))</f>
        <v>0</v>
      </c>
      <c r="G137" s="91">
        <f>IF(B137="",0,SUMIF(D_Cle,B137,D_CW))</f>
        <v>0</v>
      </c>
      <c r="H137" s="91">
        <f>IF(B137="",0,SUMIF(D_Cle,B137,D_O))</f>
        <v>0</v>
      </c>
      <c r="I137" s="92">
        <f>IF(B137="",0,SUMIF(D_Cle,B137,D_Brut))</f>
        <v>0</v>
      </c>
      <c r="J137" s="90">
        <f>IF(B137="",0,SUMIF(D_Cle,B137,D_C2))</f>
        <v>0</v>
      </c>
      <c r="K137" s="92">
        <f>IF(AND(B137&lt;&gt;"",N(Calcul!L105)&gt;0),(Calcul!I105*(E137-F137-G137)+N(Calcul!J105)*F137+IF(Calcul!K105="",Calcul!I105,Calcul!K105)*G137+N(Calcul!L105)*H137)/1000000,0)</f>
        <v>0</v>
      </c>
      <c r="L137" s="92">
        <f>IF(AND(B137&lt;&gt;"",N(Calcul!L105)&gt;0),(Calcul!I105*(E137-F137)+N(Calcul!J105)*F137+IF(Calcul!K105="",Calcul!I105,Calcul!K105)*G137+N(Calcul!L105)*H137)/1000000,0)</f>
        <v>0</v>
      </c>
      <c r="M137" s="92">
        <f>IF(AND(B137&lt;&gt;"",N(Calcul!L105)&gt;0),(Calcul!I105*E137+N(Calcul!J105)*F137+IF(Calcul!K105="",Calcul!I105,Calcul!K105)*G137+N(Calcul!L105)*H137)/1000000,0)</f>
        <v>0</v>
      </c>
      <c r="N137" s="93" t="str">
        <f>IF(K137&gt;0,I137/K137,"")</f>
        <v/>
      </c>
      <c r="O137" s="93" t="str">
        <f>IF(L137&gt;0,I137/L137,"")</f>
        <v/>
      </c>
      <c r="P137" s="93" t="str">
        <f>IF(M137&gt;0,I137/M137,"")</f>
        <v/>
      </c>
      <c r="Q137" s="89" t="str">
        <f>IF(B137="","",Calcul!E105)</f>
        <v/>
      </c>
      <c r="R137" s="92">
        <f>IF(AND(B137&lt;&gt;"",N(Calcul!L105)&gt;0),(Calcul!I105*(E137-Calcul!G105*F137-Calcul!H105*G137)+N(Calcul!J105)*F137+IF(Calcul!K105="",Calcul!I105,Calcul!K105)*G137+N(Calcul!L105)*H137)/1000000,0)</f>
        <v>0</v>
      </c>
      <c r="S137" s="93" t="str">
        <f>IF(R137&gt;0,I137/R137,"")</f>
        <v/>
      </c>
      <c r="T137" s="89" t="str">
        <f>IF(OR(B137="",D137=0),"",IF(S137="","Sans tarif",IF(AND(S137&gt;=0.895,S137&lt;=1.005),"✓ Cohérent","⚠ Hors plage")))</f>
        <v/>
      </c>
      <c r="U137" s="89" t="str">
        <f>IF(B137="","",IFERROR(INDEX(K_FamDec,MATCH(C137,K_FamNom,0)),""))</f>
        <v/>
      </c>
    </row>
    <row r="138">
      <c r="B138" s="89" t="str">
        <f>IF(Calcul!B106="","",Calcul!B106)</f>
        <v/>
      </c>
      <c r="C138" s="89" t="str">
        <f>IF(B138="","",Calcul!C106)</f>
        <v/>
      </c>
      <c r="D138" s="90">
        <f>IF(B138="",0,COUNTIF(D_Cle,B138))</f>
        <v>0</v>
      </c>
      <c r="E138" s="91">
        <f>IF(B138="",0,SUMIF(D_Cle,B138,D_I))</f>
        <v>0</v>
      </c>
      <c r="F138" s="91">
        <f>IF(B138="",0,SUMIF(D_Cle,B138,D_CR))</f>
        <v>0</v>
      </c>
      <c r="G138" s="91">
        <f>IF(B138="",0,SUMIF(D_Cle,B138,D_CW))</f>
        <v>0</v>
      </c>
      <c r="H138" s="91">
        <f>IF(B138="",0,SUMIF(D_Cle,B138,D_O))</f>
        <v>0</v>
      </c>
      <c r="I138" s="92">
        <f>IF(B138="",0,SUMIF(D_Cle,B138,D_Brut))</f>
        <v>0</v>
      </c>
      <c r="J138" s="90">
        <f>IF(B138="",0,SUMIF(D_Cle,B138,D_C2))</f>
        <v>0</v>
      </c>
      <c r="K138" s="92">
        <f>IF(AND(B138&lt;&gt;"",N(Calcul!L106)&gt;0),(Calcul!I106*(E138-F138-G138)+N(Calcul!J106)*F138+IF(Calcul!K106="",Calcul!I106,Calcul!K106)*G138+N(Calcul!L106)*H138)/1000000,0)</f>
        <v>0</v>
      </c>
      <c r="L138" s="92">
        <f>IF(AND(B138&lt;&gt;"",N(Calcul!L106)&gt;0),(Calcul!I106*(E138-F138)+N(Calcul!J106)*F138+IF(Calcul!K106="",Calcul!I106,Calcul!K106)*G138+N(Calcul!L106)*H138)/1000000,0)</f>
        <v>0</v>
      </c>
      <c r="M138" s="92">
        <f>IF(AND(B138&lt;&gt;"",N(Calcul!L106)&gt;0),(Calcul!I106*E138+N(Calcul!J106)*F138+IF(Calcul!K106="",Calcul!I106,Calcul!K106)*G138+N(Calcul!L106)*H138)/1000000,0)</f>
        <v>0</v>
      </c>
      <c r="N138" s="93" t="str">
        <f>IF(K138&gt;0,I138/K138,"")</f>
        <v/>
      </c>
      <c r="O138" s="93" t="str">
        <f>IF(L138&gt;0,I138/L138,"")</f>
        <v/>
      </c>
      <c r="P138" s="93" t="str">
        <f>IF(M138&gt;0,I138/M138,"")</f>
        <v/>
      </c>
      <c r="Q138" s="89" t="str">
        <f>IF(B138="","",Calcul!E106)</f>
        <v/>
      </c>
      <c r="R138" s="92">
        <f>IF(AND(B138&lt;&gt;"",N(Calcul!L106)&gt;0),(Calcul!I106*(E138-Calcul!G106*F138-Calcul!H106*G138)+N(Calcul!J106)*F138+IF(Calcul!K106="",Calcul!I106,Calcul!K106)*G138+N(Calcul!L106)*H138)/1000000,0)</f>
        <v>0</v>
      </c>
      <c r="S138" s="93" t="str">
        <f>IF(R138&gt;0,I138/R138,"")</f>
        <v/>
      </c>
      <c r="T138" s="89" t="str">
        <f>IF(OR(B138="",D138=0),"",IF(S138="","Sans tarif",IF(AND(S138&gt;=0.895,S138&lt;=1.005),"✓ Cohérent","⚠ Hors plage")))</f>
        <v/>
      </c>
      <c r="U138" s="89" t="str">
        <f>IF(B138="","",IFERROR(INDEX(K_FamDec,MATCH(C138,K_FamNom,0)),""))</f>
        <v/>
      </c>
    </row>
    <row r="139">
      <c r="B139" s="89" t="str">
        <f>IF(Calcul!B107="","",Calcul!B107)</f>
        <v/>
      </c>
      <c r="C139" s="89" t="str">
        <f>IF(B139="","",Calcul!C107)</f>
        <v/>
      </c>
      <c r="D139" s="90">
        <f>IF(B139="",0,COUNTIF(D_Cle,B139))</f>
        <v>0</v>
      </c>
      <c r="E139" s="91">
        <f>IF(B139="",0,SUMIF(D_Cle,B139,D_I))</f>
        <v>0</v>
      </c>
      <c r="F139" s="91">
        <f>IF(B139="",0,SUMIF(D_Cle,B139,D_CR))</f>
        <v>0</v>
      </c>
      <c r="G139" s="91">
        <f>IF(B139="",0,SUMIF(D_Cle,B139,D_CW))</f>
        <v>0</v>
      </c>
      <c r="H139" s="91">
        <f>IF(B139="",0,SUMIF(D_Cle,B139,D_O))</f>
        <v>0</v>
      </c>
      <c r="I139" s="92">
        <f>IF(B139="",0,SUMIF(D_Cle,B139,D_Brut))</f>
        <v>0</v>
      </c>
      <c r="J139" s="90">
        <f>IF(B139="",0,SUMIF(D_Cle,B139,D_C2))</f>
        <v>0</v>
      </c>
      <c r="K139" s="92">
        <f>IF(AND(B139&lt;&gt;"",N(Calcul!L107)&gt;0),(Calcul!I107*(E139-F139-G139)+N(Calcul!J107)*F139+IF(Calcul!K107="",Calcul!I107,Calcul!K107)*G139+N(Calcul!L107)*H139)/1000000,0)</f>
        <v>0</v>
      </c>
      <c r="L139" s="92">
        <f>IF(AND(B139&lt;&gt;"",N(Calcul!L107)&gt;0),(Calcul!I107*(E139-F139)+N(Calcul!J107)*F139+IF(Calcul!K107="",Calcul!I107,Calcul!K107)*G139+N(Calcul!L107)*H139)/1000000,0)</f>
        <v>0</v>
      </c>
      <c r="M139" s="92">
        <f>IF(AND(B139&lt;&gt;"",N(Calcul!L107)&gt;0),(Calcul!I107*E139+N(Calcul!J107)*F139+IF(Calcul!K107="",Calcul!I107,Calcul!K107)*G139+N(Calcul!L107)*H139)/1000000,0)</f>
        <v>0</v>
      </c>
      <c r="N139" s="93" t="str">
        <f>IF(K139&gt;0,I139/K139,"")</f>
        <v/>
      </c>
      <c r="O139" s="93" t="str">
        <f>IF(L139&gt;0,I139/L139,"")</f>
        <v/>
      </c>
      <c r="P139" s="93" t="str">
        <f>IF(M139&gt;0,I139/M139,"")</f>
        <v/>
      </c>
      <c r="Q139" s="89" t="str">
        <f>IF(B139="","",Calcul!E107)</f>
        <v/>
      </c>
      <c r="R139" s="92">
        <f>IF(AND(B139&lt;&gt;"",N(Calcul!L107)&gt;0),(Calcul!I107*(E139-Calcul!G107*F139-Calcul!H107*G139)+N(Calcul!J107)*F139+IF(Calcul!K107="",Calcul!I107,Calcul!K107)*G139+N(Calcul!L107)*H139)/1000000,0)</f>
        <v>0</v>
      </c>
      <c r="S139" s="93" t="str">
        <f>IF(R139&gt;0,I139/R139,"")</f>
        <v/>
      </c>
      <c r="T139" s="89" t="str">
        <f>IF(OR(B139="",D139=0),"",IF(S139="","Sans tarif",IF(AND(S139&gt;=0.895,S139&lt;=1.005),"✓ Cohérent","⚠ Hors plage")))</f>
        <v/>
      </c>
      <c r="U139" s="89" t="str">
        <f>IF(B139="","",IFERROR(INDEX(K_FamDec,MATCH(C139,K_FamNom,0)),""))</f>
        <v/>
      </c>
    </row>
    <row r="140">
      <c r="B140" s="89" t="str">
        <f>IF(Calcul!B108="","",Calcul!B108)</f>
        <v/>
      </c>
      <c r="C140" s="89" t="str">
        <f>IF(B140="","",Calcul!C108)</f>
        <v/>
      </c>
      <c r="D140" s="90">
        <f>IF(B140="",0,COUNTIF(D_Cle,B140))</f>
        <v>0</v>
      </c>
      <c r="E140" s="91">
        <f>IF(B140="",0,SUMIF(D_Cle,B140,D_I))</f>
        <v>0</v>
      </c>
      <c r="F140" s="91">
        <f>IF(B140="",0,SUMIF(D_Cle,B140,D_CR))</f>
        <v>0</v>
      </c>
      <c r="G140" s="91">
        <f>IF(B140="",0,SUMIF(D_Cle,B140,D_CW))</f>
        <v>0</v>
      </c>
      <c r="H140" s="91">
        <f>IF(B140="",0,SUMIF(D_Cle,B140,D_O))</f>
        <v>0</v>
      </c>
      <c r="I140" s="92">
        <f>IF(B140="",0,SUMIF(D_Cle,B140,D_Brut))</f>
        <v>0</v>
      </c>
      <c r="J140" s="90">
        <f>IF(B140="",0,SUMIF(D_Cle,B140,D_C2))</f>
        <v>0</v>
      </c>
      <c r="K140" s="92">
        <f>IF(AND(B140&lt;&gt;"",N(Calcul!L108)&gt;0),(Calcul!I108*(E140-F140-G140)+N(Calcul!J108)*F140+IF(Calcul!K108="",Calcul!I108,Calcul!K108)*G140+N(Calcul!L108)*H140)/1000000,0)</f>
        <v>0</v>
      </c>
      <c r="L140" s="92">
        <f>IF(AND(B140&lt;&gt;"",N(Calcul!L108)&gt;0),(Calcul!I108*(E140-F140)+N(Calcul!J108)*F140+IF(Calcul!K108="",Calcul!I108,Calcul!K108)*G140+N(Calcul!L108)*H140)/1000000,0)</f>
        <v>0</v>
      </c>
      <c r="M140" s="92">
        <f>IF(AND(B140&lt;&gt;"",N(Calcul!L108)&gt;0),(Calcul!I108*E140+N(Calcul!J108)*F140+IF(Calcul!K108="",Calcul!I108,Calcul!K108)*G140+N(Calcul!L108)*H140)/1000000,0)</f>
        <v>0</v>
      </c>
      <c r="N140" s="93" t="str">
        <f>IF(K140&gt;0,I140/K140,"")</f>
        <v/>
      </c>
      <c r="O140" s="93" t="str">
        <f>IF(L140&gt;0,I140/L140,"")</f>
        <v/>
      </c>
      <c r="P140" s="93" t="str">
        <f>IF(M140&gt;0,I140/M140,"")</f>
        <v/>
      </c>
      <c r="Q140" s="89" t="str">
        <f>IF(B140="","",Calcul!E108)</f>
        <v/>
      </c>
      <c r="R140" s="92">
        <f>IF(AND(B140&lt;&gt;"",N(Calcul!L108)&gt;0),(Calcul!I108*(E140-Calcul!G108*F140-Calcul!H108*G140)+N(Calcul!J108)*F140+IF(Calcul!K108="",Calcul!I108,Calcul!K108)*G140+N(Calcul!L108)*H140)/1000000,0)</f>
        <v>0</v>
      </c>
      <c r="S140" s="93" t="str">
        <f>IF(R140&gt;0,I140/R140,"")</f>
        <v/>
      </c>
      <c r="T140" s="89" t="str">
        <f>IF(OR(B140="",D140=0),"",IF(S140="","Sans tarif",IF(AND(S140&gt;=0.895,S140&lt;=1.005),"✓ Cohérent","⚠ Hors plage")))</f>
        <v/>
      </c>
      <c r="U140" s="89" t="str">
        <f>IF(B140="","",IFERROR(INDEX(K_FamDec,MATCH(C140,K_FamNom,0)),""))</f>
        <v/>
      </c>
    </row>
    <row r="141">
      <c r="B141" s="89" t="str">
        <f>IF(Calcul!B109="","",Calcul!B109)</f>
        <v/>
      </c>
      <c r="C141" s="89" t="str">
        <f>IF(B141="","",Calcul!C109)</f>
        <v/>
      </c>
      <c r="D141" s="90">
        <f>IF(B141="",0,COUNTIF(D_Cle,B141))</f>
        <v>0</v>
      </c>
      <c r="E141" s="91">
        <f>IF(B141="",0,SUMIF(D_Cle,B141,D_I))</f>
        <v>0</v>
      </c>
      <c r="F141" s="91">
        <f>IF(B141="",0,SUMIF(D_Cle,B141,D_CR))</f>
        <v>0</v>
      </c>
      <c r="G141" s="91">
        <f>IF(B141="",0,SUMIF(D_Cle,B141,D_CW))</f>
        <v>0</v>
      </c>
      <c r="H141" s="91">
        <f>IF(B141="",0,SUMIF(D_Cle,B141,D_O))</f>
        <v>0</v>
      </c>
      <c r="I141" s="92">
        <f>IF(B141="",0,SUMIF(D_Cle,B141,D_Brut))</f>
        <v>0</v>
      </c>
      <c r="J141" s="90">
        <f>IF(B141="",0,SUMIF(D_Cle,B141,D_C2))</f>
        <v>0</v>
      </c>
      <c r="K141" s="92">
        <f>IF(AND(B141&lt;&gt;"",N(Calcul!L109)&gt;0),(Calcul!I109*(E141-F141-G141)+N(Calcul!J109)*F141+IF(Calcul!K109="",Calcul!I109,Calcul!K109)*G141+N(Calcul!L109)*H141)/1000000,0)</f>
        <v>0</v>
      </c>
      <c r="L141" s="92">
        <f>IF(AND(B141&lt;&gt;"",N(Calcul!L109)&gt;0),(Calcul!I109*(E141-F141)+N(Calcul!J109)*F141+IF(Calcul!K109="",Calcul!I109,Calcul!K109)*G141+N(Calcul!L109)*H141)/1000000,0)</f>
        <v>0</v>
      </c>
      <c r="M141" s="92">
        <f>IF(AND(B141&lt;&gt;"",N(Calcul!L109)&gt;0),(Calcul!I109*E141+N(Calcul!J109)*F141+IF(Calcul!K109="",Calcul!I109,Calcul!K109)*G141+N(Calcul!L109)*H141)/1000000,0)</f>
        <v>0</v>
      </c>
      <c r="N141" s="93" t="str">
        <f>IF(K141&gt;0,I141/K141,"")</f>
        <v/>
      </c>
      <c r="O141" s="93" t="str">
        <f>IF(L141&gt;0,I141/L141,"")</f>
        <v/>
      </c>
      <c r="P141" s="93" t="str">
        <f>IF(M141&gt;0,I141/M141,"")</f>
        <v/>
      </c>
      <c r="Q141" s="89" t="str">
        <f>IF(B141="","",Calcul!E109)</f>
        <v/>
      </c>
      <c r="R141" s="92">
        <f>IF(AND(B141&lt;&gt;"",N(Calcul!L109)&gt;0),(Calcul!I109*(E141-Calcul!G109*F141-Calcul!H109*G141)+N(Calcul!J109)*F141+IF(Calcul!K109="",Calcul!I109,Calcul!K109)*G141+N(Calcul!L109)*H141)/1000000,0)</f>
        <v>0</v>
      </c>
      <c r="S141" s="93" t="str">
        <f>IF(R141&gt;0,I141/R141,"")</f>
        <v/>
      </c>
      <c r="T141" s="89" t="str">
        <f>IF(OR(B141="",D141=0),"",IF(S141="","Sans tarif",IF(AND(S141&gt;=0.895,S141&lt;=1.005),"✓ Cohérent","⚠ Hors plage")))</f>
        <v/>
      </c>
      <c r="U141" s="89" t="str">
        <f>IF(B141="","",IFERROR(INDEX(K_FamDec,MATCH(C141,K_FamNom,0)),""))</f>
        <v/>
      </c>
    </row>
    <row r="142">
      <c r="B142" s="89" t="str">
        <f>IF(Calcul!B110="","",Calcul!B110)</f>
        <v/>
      </c>
      <c r="C142" s="89" t="str">
        <f>IF(B142="","",Calcul!C110)</f>
        <v/>
      </c>
      <c r="D142" s="90">
        <f>IF(B142="",0,COUNTIF(D_Cle,B142))</f>
        <v>0</v>
      </c>
      <c r="E142" s="91">
        <f>IF(B142="",0,SUMIF(D_Cle,B142,D_I))</f>
        <v>0</v>
      </c>
      <c r="F142" s="91">
        <f>IF(B142="",0,SUMIF(D_Cle,B142,D_CR))</f>
        <v>0</v>
      </c>
      <c r="G142" s="91">
        <f>IF(B142="",0,SUMIF(D_Cle,B142,D_CW))</f>
        <v>0</v>
      </c>
      <c r="H142" s="91">
        <f>IF(B142="",0,SUMIF(D_Cle,B142,D_O))</f>
        <v>0</v>
      </c>
      <c r="I142" s="92">
        <f>IF(B142="",0,SUMIF(D_Cle,B142,D_Brut))</f>
        <v>0</v>
      </c>
      <c r="J142" s="90">
        <f>IF(B142="",0,SUMIF(D_Cle,B142,D_C2))</f>
        <v>0</v>
      </c>
      <c r="K142" s="92">
        <f>IF(AND(B142&lt;&gt;"",N(Calcul!L110)&gt;0),(Calcul!I110*(E142-F142-G142)+N(Calcul!J110)*F142+IF(Calcul!K110="",Calcul!I110,Calcul!K110)*G142+N(Calcul!L110)*H142)/1000000,0)</f>
        <v>0</v>
      </c>
      <c r="L142" s="92">
        <f>IF(AND(B142&lt;&gt;"",N(Calcul!L110)&gt;0),(Calcul!I110*(E142-F142)+N(Calcul!J110)*F142+IF(Calcul!K110="",Calcul!I110,Calcul!K110)*G142+N(Calcul!L110)*H142)/1000000,0)</f>
        <v>0</v>
      </c>
      <c r="M142" s="92">
        <f>IF(AND(B142&lt;&gt;"",N(Calcul!L110)&gt;0),(Calcul!I110*E142+N(Calcul!J110)*F142+IF(Calcul!K110="",Calcul!I110,Calcul!K110)*G142+N(Calcul!L110)*H142)/1000000,0)</f>
        <v>0</v>
      </c>
      <c r="N142" s="93" t="str">
        <f>IF(K142&gt;0,I142/K142,"")</f>
        <v/>
      </c>
      <c r="O142" s="93" t="str">
        <f>IF(L142&gt;0,I142/L142,"")</f>
        <v/>
      </c>
      <c r="P142" s="93" t="str">
        <f>IF(M142&gt;0,I142/M142,"")</f>
        <v/>
      </c>
      <c r="Q142" s="89" t="str">
        <f>IF(B142="","",Calcul!E110)</f>
        <v/>
      </c>
      <c r="R142" s="92">
        <f>IF(AND(B142&lt;&gt;"",N(Calcul!L110)&gt;0),(Calcul!I110*(E142-Calcul!G110*F142-Calcul!H110*G142)+N(Calcul!J110)*F142+IF(Calcul!K110="",Calcul!I110,Calcul!K110)*G142+N(Calcul!L110)*H142)/1000000,0)</f>
        <v>0</v>
      </c>
      <c r="S142" s="93" t="str">
        <f>IF(R142&gt;0,I142/R142,"")</f>
        <v/>
      </c>
      <c r="T142" s="89" t="str">
        <f>IF(OR(B142="",D142=0),"",IF(S142="","Sans tarif",IF(AND(S142&gt;=0.895,S142&lt;=1.005),"✓ Cohérent","⚠ Hors plage")))</f>
        <v/>
      </c>
      <c r="U142" s="89" t="str">
        <f>IF(B142="","",IFERROR(INDEX(K_FamDec,MATCH(C142,K_FamNom,0)),""))</f>
        <v/>
      </c>
    </row>
    <row r="143">
      <c r="B143" s="89" t="str">
        <f>IF(Calcul!B111="","",Calcul!B111)</f>
        <v/>
      </c>
      <c r="C143" s="89" t="str">
        <f>IF(B143="","",Calcul!C111)</f>
        <v/>
      </c>
      <c r="D143" s="90">
        <f>IF(B143="",0,COUNTIF(D_Cle,B143))</f>
        <v>0</v>
      </c>
      <c r="E143" s="91">
        <f>IF(B143="",0,SUMIF(D_Cle,B143,D_I))</f>
        <v>0</v>
      </c>
      <c r="F143" s="91">
        <f>IF(B143="",0,SUMIF(D_Cle,B143,D_CR))</f>
        <v>0</v>
      </c>
      <c r="G143" s="91">
        <f>IF(B143="",0,SUMIF(D_Cle,B143,D_CW))</f>
        <v>0</v>
      </c>
      <c r="H143" s="91">
        <f>IF(B143="",0,SUMIF(D_Cle,B143,D_O))</f>
        <v>0</v>
      </c>
      <c r="I143" s="92">
        <f>IF(B143="",0,SUMIF(D_Cle,B143,D_Brut))</f>
        <v>0</v>
      </c>
      <c r="J143" s="90">
        <f>IF(B143="",0,SUMIF(D_Cle,B143,D_C2))</f>
        <v>0</v>
      </c>
      <c r="K143" s="92">
        <f>IF(AND(B143&lt;&gt;"",N(Calcul!L111)&gt;0),(Calcul!I111*(E143-F143-G143)+N(Calcul!J111)*F143+IF(Calcul!K111="",Calcul!I111,Calcul!K111)*G143+N(Calcul!L111)*H143)/1000000,0)</f>
        <v>0</v>
      </c>
      <c r="L143" s="92">
        <f>IF(AND(B143&lt;&gt;"",N(Calcul!L111)&gt;0),(Calcul!I111*(E143-F143)+N(Calcul!J111)*F143+IF(Calcul!K111="",Calcul!I111,Calcul!K111)*G143+N(Calcul!L111)*H143)/1000000,0)</f>
        <v>0</v>
      </c>
      <c r="M143" s="92">
        <f>IF(AND(B143&lt;&gt;"",N(Calcul!L111)&gt;0),(Calcul!I111*E143+N(Calcul!J111)*F143+IF(Calcul!K111="",Calcul!I111,Calcul!K111)*G143+N(Calcul!L111)*H143)/1000000,0)</f>
        <v>0</v>
      </c>
      <c r="N143" s="93" t="str">
        <f>IF(K143&gt;0,I143/K143,"")</f>
        <v/>
      </c>
      <c r="O143" s="93" t="str">
        <f>IF(L143&gt;0,I143/L143,"")</f>
        <v/>
      </c>
      <c r="P143" s="93" t="str">
        <f>IF(M143&gt;0,I143/M143,"")</f>
        <v/>
      </c>
      <c r="Q143" s="89" t="str">
        <f>IF(B143="","",Calcul!E111)</f>
        <v/>
      </c>
      <c r="R143" s="92">
        <f>IF(AND(B143&lt;&gt;"",N(Calcul!L111)&gt;0),(Calcul!I111*(E143-Calcul!G111*F143-Calcul!H111*G143)+N(Calcul!J111)*F143+IF(Calcul!K111="",Calcul!I111,Calcul!K111)*G143+N(Calcul!L111)*H143)/1000000,0)</f>
        <v>0</v>
      </c>
      <c r="S143" s="93" t="str">
        <f>IF(R143&gt;0,I143/R143,"")</f>
        <v/>
      </c>
      <c r="T143" s="89" t="str">
        <f>IF(OR(B143="",D143=0),"",IF(S143="","Sans tarif",IF(AND(S143&gt;=0.895,S143&lt;=1.005),"✓ Cohérent","⚠ Hors plage")))</f>
        <v/>
      </c>
      <c r="U143" s="89" t="str">
        <f>IF(B143="","",IFERROR(INDEX(K_FamDec,MATCH(C143,K_FamNom,0)),""))</f>
        <v/>
      </c>
    </row>
    <row r="144">
      <c r="B144" s="89" t="str">
        <f>IF(Calcul!B112="","",Calcul!B112)</f>
        <v/>
      </c>
      <c r="C144" s="89" t="str">
        <f>IF(B144="","",Calcul!C112)</f>
        <v/>
      </c>
      <c r="D144" s="90">
        <f>IF(B144="",0,COUNTIF(D_Cle,B144))</f>
        <v>0</v>
      </c>
      <c r="E144" s="91">
        <f>IF(B144="",0,SUMIF(D_Cle,B144,D_I))</f>
        <v>0</v>
      </c>
      <c r="F144" s="91">
        <f>IF(B144="",0,SUMIF(D_Cle,B144,D_CR))</f>
        <v>0</v>
      </c>
      <c r="G144" s="91">
        <f>IF(B144="",0,SUMIF(D_Cle,B144,D_CW))</f>
        <v>0</v>
      </c>
      <c r="H144" s="91">
        <f>IF(B144="",0,SUMIF(D_Cle,B144,D_O))</f>
        <v>0</v>
      </c>
      <c r="I144" s="92">
        <f>IF(B144="",0,SUMIF(D_Cle,B144,D_Brut))</f>
        <v>0</v>
      </c>
      <c r="J144" s="90">
        <f>IF(B144="",0,SUMIF(D_Cle,B144,D_C2))</f>
        <v>0</v>
      </c>
      <c r="K144" s="92">
        <f>IF(AND(B144&lt;&gt;"",N(Calcul!L112)&gt;0),(Calcul!I112*(E144-F144-G144)+N(Calcul!J112)*F144+IF(Calcul!K112="",Calcul!I112,Calcul!K112)*G144+N(Calcul!L112)*H144)/1000000,0)</f>
        <v>0</v>
      </c>
      <c r="L144" s="92">
        <f>IF(AND(B144&lt;&gt;"",N(Calcul!L112)&gt;0),(Calcul!I112*(E144-F144)+N(Calcul!J112)*F144+IF(Calcul!K112="",Calcul!I112,Calcul!K112)*G144+N(Calcul!L112)*H144)/1000000,0)</f>
        <v>0</v>
      </c>
      <c r="M144" s="92">
        <f>IF(AND(B144&lt;&gt;"",N(Calcul!L112)&gt;0),(Calcul!I112*E144+N(Calcul!J112)*F144+IF(Calcul!K112="",Calcul!I112,Calcul!K112)*G144+N(Calcul!L112)*H144)/1000000,0)</f>
        <v>0</v>
      </c>
      <c r="N144" s="93" t="str">
        <f>IF(K144&gt;0,I144/K144,"")</f>
        <v/>
      </c>
      <c r="O144" s="93" t="str">
        <f>IF(L144&gt;0,I144/L144,"")</f>
        <v/>
      </c>
      <c r="P144" s="93" t="str">
        <f>IF(M144&gt;0,I144/M144,"")</f>
        <v/>
      </c>
      <c r="Q144" s="89" t="str">
        <f>IF(B144="","",Calcul!E112)</f>
        <v/>
      </c>
      <c r="R144" s="92">
        <f>IF(AND(B144&lt;&gt;"",N(Calcul!L112)&gt;0),(Calcul!I112*(E144-Calcul!G112*F144-Calcul!H112*G144)+N(Calcul!J112)*F144+IF(Calcul!K112="",Calcul!I112,Calcul!K112)*G144+N(Calcul!L112)*H144)/1000000,0)</f>
        <v>0</v>
      </c>
      <c r="S144" s="93" t="str">
        <f>IF(R144&gt;0,I144/R144,"")</f>
        <v/>
      </c>
      <c r="T144" s="89" t="str">
        <f>IF(OR(B144="",D144=0),"",IF(S144="","Sans tarif",IF(AND(S144&gt;=0.895,S144&lt;=1.005),"✓ Cohérent","⚠ Hors plage")))</f>
        <v/>
      </c>
      <c r="U144" s="89" t="str">
        <f>IF(B144="","",IFERROR(INDEX(K_FamDec,MATCH(C144,K_FamNom,0)),""))</f>
        <v/>
      </c>
    </row>
    <row r="145">
      <c r="B145" s="89" t="str">
        <f>IF(Calcul!B113="","",Calcul!B113)</f>
        <v/>
      </c>
      <c r="C145" s="89" t="str">
        <f>IF(B145="","",Calcul!C113)</f>
        <v/>
      </c>
      <c r="D145" s="90">
        <f>IF(B145="",0,COUNTIF(D_Cle,B145))</f>
        <v>0</v>
      </c>
      <c r="E145" s="91">
        <f>IF(B145="",0,SUMIF(D_Cle,B145,D_I))</f>
        <v>0</v>
      </c>
      <c r="F145" s="91">
        <f>IF(B145="",0,SUMIF(D_Cle,B145,D_CR))</f>
        <v>0</v>
      </c>
      <c r="G145" s="91">
        <f>IF(B145="",0,SUMIF(D_Cle,B145,D_CW))</f>
        <v>0</v>
      </c>
      <c r="H145" s="91">
        <f>IF(B145="",0,SUMIF(D_Cle,B145,D_O))</f>
        <v>0</v>
      </c>
      <c r="I145" s="92">
        <f>IF(B145="",0,SUMIF(D_Cle,B145,D_Brut))</f>
        <v>0</v>
      </c>
      <c r="J145" s="90">
        <f>IF(B145="",0,SUMIF(D_Cle,B145,D_C2))</f>
        <v>0</v>
      </c>
      <c r="K145" s="92">
        <f>IF(AND(B145&lt;&gt;"",N(Calcul!L113)&gt;0),(Calcul!I113*(E145-F145-G145)+N(Calcul!J113)*F145+IF(Calcul!K113="",Calcul!I113,Calcul!K113)*G145+N(Calcul!L113)*H145)/1000000,0)</f>
        <v>0</v>
      </c>
      <c r="L145" s="92">
        <f>IF(AND(B145&lt;&gt;"",N(Calcul!L113)&gt;0),(Calcul!I113*(E145-F145)+N(Calcul!J113)*F145+IF(Calcul!K113="",Calcul!I113,Calcul!K113)*G145+N(Calcul!L113)*H145)/1000000,0)</f>
        <v>0</v>
      </c>
      <c r="M145" s="92">
        <f>IF(AND(B145&lt;&gt;"",N(Calcul!L113)&gt;0),(Calcul!I113*E145+N(Calcul!J113)*F145+IF(Calcul!K113="",Calcul!I113,Calcul!K113)*G145+N(Calcul!L113)*H145)/1000000,0)</f>
        <v>0</v>
      </c>
      <c r="N145" s="93" t="str">
        <f>IF(K145&gt;0,I145/K145,"")</f>
        <v/>
      </c>
      <c r="O145" s="93" t="str">
        <f>IF(L145&gt;0,I145/L145,"")</f>
        <v/>
      </c>
      <c r="P145" s="93" t="str">
        <f>IF(M145&gt;0,I145/M145,"")</f>
        <v/>
      </c>
      <c r="Q145" s="89" t="str">
        <f>IF(B145="","",Calcul!E113)</f>
        <v/>
      </c>
      <c r="R145" s="92">
        <f>IF(AND(B145&lt;&gt;"",N(Calcul!L113)&gt;0),(Calcul!I113*(E145-Calcul!G113*F145-Calcul!H113*G145)+N(Calcul!J113)*F145+IF(Calcul!K113="",Calcul!I113,Calcul!K113)*G145+N(Calcul!L113)*H145)/1000000,0)</f>
        <v>0</v>
      </c>
      <c r="S145" s="93" t="str">
        <f>IF(R145&gt;0,I145/R145,"")</f>
        <v/>
      </c>
      <c r="T145" s="89" t="str">
        <f>IF(OR(B145="",D145=0),"",IF(S145="","Sans tarif",IF(AND(S145&gt;=0.895,S145&lt;=1.005),"✓ Cohérent","⚠ Hors plage")))</f>
        <v/>
      </c>
      <c r="U145" s="89" t="str">
        <f>IF(B145="","",IFERROR(INDEX(K_FamDec,MATCH(C145,K_FamNom,0)),""))</f>
        <v/>
      </c>
    </row>
    <row r="146">
      <c r="B146" s="89" t="str">
        <f>IF(Calcul!B114="","",Calcul!B114)</f>
        <v/>
      </c>
      <c r="C146" s="89" t="str">
        <f>IF(B146="","",Calcul!C114)</f>
        <v/>
      </c>
      <c r="D146" s="90">
        <f>IF(B146="",0,COUNTIF(D_Cle,B146))</f>
        <v>0</v>
      </c>
      <c r="E146" s="91">
        <f>IF(B146="",0,SUMIF(D_Cle,B146,D_I))</f>
        <v>0</v>
      </c>
      <c r="F146" s="91">
        <f>IF(B146="",0,SUMIF(D_Cle,B146,D_CR))</f>
        <v>0</v>
      </c>
      <c r="G146" s="91">
        <f>IF(B146="",0,SUMIF(D_Cle,B146,D_CW))</f>
        <v>0</v>
      </c>
      <c r="H146" s="91">
        <f>IF(B146="",0,SUMIF(D_Cle,B146,D_O))</f>
        <v>0</v>
      </c>
      <c r="I146" s="92">
        <f>IF(B146="",0,SUMIF(D_Cle,B146,D_Brut))</f>
        <v>0</v>
      </c>
      <c r="J146" s="90">
        <f>IF(B146="",0,SUMIF(D_Cle,B146,D_C2))</f>
        <v>0</v>
      </c>
      <c r="K146" s="92">
        <f>IF(AND(B146&lt;&gt;"",N(Calcul!L114)&gt;0),(Calcul!I114*(E146-F146-G146)+N(Calcul!J114)*F146+IF(Calcul!K114="",Calcul!I114,Calcul!K114)*G146+N(Calcul!L114)*H146)/1000000,0)</f>
        <v>0</v>
      </c>
      <c r="L146" s="92">
        <f>IF(AND(B146&lt;&gt;"",N(Calcul!L114)&gt;0),(Calcul!I114*(E146-F146)+N(Calcul!J114)*F146+IF(Calcul!K114="",Calcul!I114,Calcul!K114)*G146+N(Calcul!L114)*H146)/1000000,0)</f>
        <v>0</v>
      </c>
      <c r="M146" s="92">
        <f>IF(AND(B146&lt;&gt;"",N(Calcul!L114)&gt;0),(Calcul!I114*E146+N(Calcul!J114)*F146+IF(Calcul!K114="",Calcul!I114,Calcul!K114)*G146+N(Calcul!L114)*H146)/1000000,0)</f>
        <v>0</v>
      </c>
      <c r="N146" s="93" t="str">
        <f>IF(K146&gt;0,I146/K146,"")</f>
        <v/>
      </c>
      <c r="O146" s="93" t="str">
        <f>IF(L146&gt;0,I146/L146,"")</f>
        <v/>
      </c>
      <c r="P146" s="93" t="str">
        <f>IF(M146&gt;0,I146/M146,"")</f>
        <v/>
      </c>
      <c r="Q146" s="89" t="str">
        <f>IF(B146="","",Calcul!E114)</f>
        <v/>
      </c>
      <c r="R146" s="92">
        <f>IF(AND(B146&lt;&gt;"",N(Calcul!L114)&gt;0),(Calcul!I114*(E146-Calcul!G114*F146-Calcul!H114*G146)+N(Calcul!J114)*F146+IF(Calcul!K114="",Calcul!I114,Calcul!K114)*G146+N(Calcul!L114)*H146)/1000000,0)</f>
        <v>0</v>
      </c>
      <c r="S146" s="93" t="str">
        <f>IF(R146&gt;0,I146/R146,"")</f>
        <v/>
      </c>
      <c r="T146" s="89" t="str">
        <f>IF(OR(B146="",D146=0),"",IF(S146="","Sans tarif",IF(AND(S146&gt;=0.895,S146&lt;=1.005),"✓ Cohérent","⚠ Hors plage")))</f>
        <v/>
      </c>
      <c r="U146" s="89" t="str">
        <f>IF(B146="","",IFERROR(INDEX(K_FamDec,MATCH(C146,K_FamNom,0)),""))</f>
        <v/>
      </c>
    </row>
    <row r="147">
      <c r="B147" s="89" t="str">
        <f>IF(Calcul!B115="","",Calcul!B115)</f>
        <v/>
      </c>
      <c r="C147" s="89" t="str">
        <f>IF(B147="","",Calcul!C115)</f>
        <v/>
      </c>
      <c r="D147" s="90">
        <f>IF(B147="",0,COUNTIF(D_Cle,B147))</f>
        <v>0</v>
      </c>
      <c r="E147" s="91">
        <f>IF(B147="",0,SUMIF(D_Cle,B147,D_I))</f>
        <v>0</v>
      </c>
      <c r="F147" s="91">
        <f>IF(B147="",0,SUMIF(D_Cle,B147,D_CR))</f>
        <v>0</v>
      </c>
      <c r="G147" s="91">
        <f>IF(B147="",0,SUMIF(D_Cle,B147,D_CW))</f>
        <v>0</v>
      </c>
      <c r="H147" s="91">
        <f>IF(B147="",0,SUMIF(D_Cle,B147,D_O))</f>
        <v>0</v>
      </c>
      <c r="I147" s="92">
        <f>IF(B147="",0,SUMIF(D_Cle,B147,D_Brut))</f>
        <v>0</v>
      </c>
      <c r="J147" s="90">
        <f>IF(B147="",0,SUMIF(D_Cle,B147,D_C2))</f>
        <v>0</v>
      </c>
      <c r="K147" s="92">
        <f>IF(AND(B147&lt;&gt;"",N(Calcul!L115)&gt;0),(Calcul!I115*(E147-F147-G147)+N(Calcul!J115)*F147+IF(Calcul!K115="",Calcul!I115,Calcul!K115)*G147+N(Calcul!L115)*H147)/1000000,0)</f>
        <v>0</v>
      </c>
      <c r="L147" s="92">
        <f>IF(AND(B147&lt;&gt;"",N(Calcul!L115)&gt;0),(Calcul!I115*(E147-F147)+N(Calcul!J115)*F147+IF(Calcul!K115="",Calcul!I115,Calcul!K115)*G147+N(Calcul!L115)*H147)/1000000,0)</f>
        <v>0</v>
      </c>
      <c r="M147" s="92">
        <f>IF(AND(B147&lt;&gt;"",N(Calcul!L115)&gt;0),(Calcul!I115*E147+N(Calcul!J115)*F147+IF(Calcul!K115="",Calcul!I115,Calcul!K115)*G147+N(Calcul!L115)*H147)/1000000,0)</f>
        <v>0</v>
      </c>
      <c r="N147" s="93" t="str">
        <f>IF(K147&gt;0,I147/K147,"")</f>
        <v/>
      </c>
      <c r="O147" s="93" t="str">
        <f>IF(L147&gt;0,I147/L147,"")</f>
        <v/>
      </c>
      <c r="P147" s="93" t="str">
        <f>IF(M147&gt;0,I147/M147,"")</f>
        <v/>
      </c>
      <c r="Q147" s="89" t="str">
        <f>IF(B147="","",Calcul!E115)</f>
        <v/>
      </c>
      <c r="R147" s="92">
        <f>IF(AND(B147&lt;&gt;"",N(Calcul!L115)&gt;0),(Calcul!I115*(E147-Calcul!G115*F147-Calcul!H115*G147)+N(Calcul!J115)*F147+IF(Calcul!K115="",Calcul!I115,Calcul!K115)*G147+N(Calcul!L115)*H147)/1000000,0)</f>
        <v>0</v>
      </c>
      <c r="S147" s="93" t="str">
        <f>IF(R147&gt;0,I147/R147,"")</f>
        <v/>
      </c>
      <c r="T147" s="89" t="str">
        <f>IF(OR(B147="",D147=0),"",IF(S147="","Sans tarif",IF(AND(S147&gt;=0.895,S147&lt;=1.005),"✓ Cohérent","⚠ Hors plage")))</f>
        <v/>
      </c>
      <c r="U147" s="89" t="str">
        <f>IF(B147="","",IFERROR(INDEX(K_FamDec,MATCH(C147,K_FamNom,0)),""))</f>
        <v/>
      </c>
    </row>
    <row r="148">
      <c r="B148" s="89" t="str">
        <f>IF(Calcul!B116="","",Calcul!B116)</f>
        <v/>
      </c>
      <c r="C148" s="89" t="str">
        <f>IF(B148="","",Calcul!C116)</f>
        <v/>
      </c>
      <c r="D148" s="90">
        <f>IF(B148="",0,COUNTIF(D_Cle,B148))</f>
        <v>0</v>
      </c>
      <c r="E148" s="91">
        <f>IF(B148="",0,SUMIF(D_Cle,B148,D_I))</f>
        <v>0</v>
      </c>
      <c r="F148" s="91">
        <f>IF(B148="",0,SUMIF(D_Cle,B148,D_CR))</f>
        <v>0</v>
      </c>
      <c r="G148" s="91">
        <f>IF(B148="",0,SUMIF(D_Cle,B148,D_CW))</f>
        <v>0</v>
      </c>
      <c r="H148" s="91">
        <f>IF(B148="",0,SUMIF(D_Cle,B148,D_O))</f>
        <v>0</v>
      </c>
      <c r="I148" s="92">
        <f>IF(B148="",0,SUMIF(D_Cle,B148,D_Brut))</f>
        <v>0</v>
      </c>
      <c r="J148" s="90">
        <f>IF(B148="",0,SUMIF(D_Cle,B148,D_C2))</f>
        <v>0</v>
      </c>
      <c r="K148" s="92">
        <f>IF(AND(B148&lt;&gt;"",N(Calcul!L116)&gt;0),(Calcul!I116*(E148-F148-G148)+N(Calcul!J116)*F148+IF(Calcul!K116="",Calcul!I116,Calcul!K116)*G148+N(Calcul!L116)*H148)/1000000,0)</f>
        <v>0</v>
      </c>
      <c r="L148" s="92">
        <f>IF(AND(B148&lt;&gt;"",N(Calcul!L116)&gt;0),(Calcul!I116*(E148-F148)+N(Calcul!J116)*F148+IF(Calcul!K116="",Calcul!I116,Calcul!K116)*G148+N(Calcul!L116)*H148)/1000000,0)</f>
        <v>0</v>
      </c>
      <c r="M148" s="92">
        <f>IF(AND(B148&lt;&gt;"",N(Calcul!L116)&gt;0),(Calcul!I116*E148+N(Calcul!J116)*F148+IF(Calcul!K116="",Calcul!I116,Calcul!K116)*G148+N(Calcul!L116)*H148)/1000000,0)</f>
        <v>0</v>
      </c>
      <c r="N148" s="93" t="str">
        <f>IF(K148&gt;0,I148/K148,"")</f>
        <v/>
      </c>
      <c r="O148" s="93" t="str">
        <f>IF(L148&gt;0,I148/L148,"")</f>
        <v/>
      </c>
      <c r="P148" s="93" t="str">
        <f>IF(M148&gt;0,I148/M148,"")</f>
        <v/>
      </c>
      <c r="Q148" s="89" t="str">
        <f>IF(B148="","",Calcul!E116)</f>
        <v/>
      </c>
      <c r="R148" s="92">
        <f>IF(AND(B148&lt;&gt;"",N(Calcul!L116)&gt;0),(Calcul!I116*(E148-Calcul!G116*F148-Calcul!H116*G148)+N(Calcul!J116)*F148+IF(Calcul!K116="",Calcul!I116,Calcul!K116)*G148+N(Calcul!L116)*H148)/1000000,0)</f>
        <v>0</v>
      </c>
      <c r="S148" s="93" t="str">
        <f>IF(R148&gt;0,I148/R148,"")</f>
        <v/>
      </c>
      <c r="T148" s="89" t="str">
        <f>IF(OR(B148="",D148=0),"",IF(S148="","Sans tarif",IF(AND(S148&gt;=0.895,S148&lt;=1.005),"✓ Cohérent","⚠ Hors plage")))</f>
        <v/>
      </c>
      <c r="U148" s="89" t="str">
        <f>IF(B148="","",IFERROR(INDEX(K_FamDec,MATCH(C148,K_FamNom,0)),""))</f>
        <v/>
      </c>
    </row>
    <row r="149">
      <c r="B149" s="89" t="str">
        <f>IF(Calcul!B117="","",Calcul!B117)</f>
        <v/>
      </c>
      <c r="C149" s="89" t="str">
        <f>IF(B149="","",Calcul!C117)</f>
        <v/>
      </c>
      <c r="D149" s="90">
        <f>IF(B149="",0,COUNTIF(D_Cle,B149))</f>
        <v>0</v>
      </c>
      <c r="E149" s="91">
        <f>IF(B149="",0,SUMIF(D_Cle,B149,D_I))</f>
        <v>0</v>
      </c>
      <c r="F149" s="91">
        <f>IF(B149="",0,SUMIF(D_Cle,B149,D_CR))</f>
        <v>0</v>
      </c>
      <c r="G149" s="91">
        <f>IF(B149="",0,SUMIF(D_Cle,B149,D_CW))</f>
        <v>0</v>
      </c>
      <c r="H149" s="91">
        <f>IF(B149="",0,SUMIF(D_Cle,B149,D_O))</f>
        <v>0</v>
      </c>
      <c r="I149" s="92">
        <f>IF(B149="",0,SUMIF(D_Cle,B149,D_Brut))</f>
        <v>0</v>
      </c>
      <c r="J149" s="90">
        <f>IF(B149="",0,SUMIF(D_Cle,B149,D_C2))</f>
        <v>0</v>
      </c>
      <c r="K149" s="92">
        <f>IF(AND(B149&lt;&gt;"",N(Calcul!L117)&gt;0),(Calcul!I117*(E149-F149-G149)+N(Calcul!J117)*F149+IF(Calcul!K117="",Calcul!I117,Calcul!K117)*G149+N(Calcul!L117)*H149)/1000000,0)</f>
        <v>0</v>
      </c>
      <c r="L149" s="92">
        <f>IF(AND(B149&lt;&gt;"",N(Calcul!L117)&gt;0),(Calcul!I117*(E149-F149)+N(Calcul!J117)*F149+IF(Calcul!K117="",Calcul!I117,Calcul!K117)*G149+N(Calcul!L117)*H149)/1000000,0)</f>
        <v>0</v>
      </c>
      <c r="M149" s="92">
        <f>IF(AND(B149&lt;&gt;"",N(Calcul!L117)&gt;0),(Calcul!I117*E149+N(Calcul!J117)*F149+IF(Calcul!K117="",Calcul!I117,Calcul!K117)*G149+N(Calcul!L117)*H149)/1000000,0)</f>
        <v>0</v>
      </c>
      <c r="N149" s="93" t="str">
        <f>IF(K149&gt;0,I149/K149,"")</f>
        <v/>
      </c>
      <c r="O149" s="93" t="str">
        <f>IF(L149&gt;0,I149/L149,"")</f>
        <v/>
      </c>
      <c r="P149" s="93" t="str">
        <f>IF(M149&gt;0,I149/M149,"")</f>
        <v/>
      </c>
      <c r="Q149" s="89" t="str">
        <f>IF(B149="","",Calcul!E117)</f>
        <v/>
      </c>
      <c r="R149" s="92">
        <f>IF(AND(B149&lt;&gt;"",N(Calcul!L117)&gt;0),(Calcul!I117*(E149-Calcul!G117*F149-Calcul!H117*G149)+N(Calcul!J117)*F149+IF(Calcul!K117="",Calcul!I117,Calcul!K117)*G149+N(Calcul!L117)*H149)/1000000,0)</f>
        <v>0</v>
      </c>
      <c r="S149" s="93" t="str">
        <f>IF(R149&gt;0,I149/R149,"")</f>
        <v/>
      </c>
      <c r="T149" s="89" t="str">
        <f>IF(OR(B149="",D149=0),"",IF(S149="","Sans tarif",IF(AND(S149&gt;=0.895,S149&lt;=1.005),"✓ Cohérent","⚠ Hors plage")))</f>
        <v/>
      </c>
      <c r="U149" s="89" t="str">
        <f>IF(B149="","",IFERROR(INDEX(K_FamDec,MATCH(C149,K_FamNom,0)),""))</f>
        <v/>
      </c>
    </row>
    <row r="150">
      <c r="B150" s="89" t="str">
        <f>IF(Calcul!B118="","",Calcul!B118)</f>
        <v/>
      </c>
      <c r="C150" s="89" t="str">
        <f>IF(B150="","",Calcul!C118)</f>
        <v/>
      </c>
      <c r="D150" s="90">
        <f>IF(B150="",0,COUNTIF(D_Cle,B150))</f>
        <v>0</v>
      </c>
      <c r="E150" s="91">
        <f>IF(B150="",0,SUMIF(D_Cle,B150,D_I))</f>
        <v>0</v>
      </c>
      <c r="F150" s="91">
        <f>IF(B150="",0,SUMIF(D_Cle,B150,D_CR))</f>
        <v>0</v>
      </c>
      <c r="G150" s="91">
        <f>IF(B150="",0,SUMIF(D_Cle,B150,D_CW))</f>
        <v>0</v>
      </c>
      <c r="H150" s="91">
        <f>IF(B150="",0,SUMIF(D_Cle,B150,D_O))</f>
        <v>0</v>
      </c>
      <c r="I150" s="92">
        <f>IF(B150="",0,SUMIF(D_Cle,B150,D_Brut))</f>
        <v>0</v>
      </c>
      <c r="J150" s="90">
        <f>IF(B150="",0,SUMIF(D_Cle,B150,D_C2))</f>
        <v>0</v>
      </c>
      <c r="K150" s="92">
        <f>IF(AND(B150&lt;&gt;"",N(Calcul!L118)&gt;0),(Calcul!I118*(E150-F150-G150)+N(Calcul!J118)*F150+IF(Calcul!K118="",Calcul!I118,Calcul!K118)*G150+N(Calcul!L118)*H150)/1000000,0)</f>
        <v>0</v>
      </c>
      <c r="L150" s="92">
        <f>IF(AND(B150&lt;&gt;"",N(Calcul!L118)&gt;0),(Calcul!I118*(E150-F150)+N(Calcul!J118)*F150+IF(Calcul!K118="",Calcul!I118,Calcul!K118)*G150+N(Calcul!L118)*H150)/1000000,0)</f>
        <v>0</v>
      </c>
      <c r="M150" s="92">
        <f>IF(AND(B150&lt;&gt;"",N(Calcul!L118)&gt;0),(Calcul!I118*E150+N(Calcul!J118)*F150+IF(Calcul!K118="",Calcul!I118,Calcul!K118)*G150+N(Calcul!L118)*H150)/1000000,0)</f>
        <v>0</v>
      </c>
      <c r="N150" s="93" t="str">
        <f>IF(K150&gt;0,I150/K150,"")</f>
        <v/>
      </c>
      <c r="O150" s="93" t="str">
        <f>IF(L150&gt;0,I150/L150,"")</f>
        <v/>
      </c>
      <c r="P150" s="93" t="str">
        <f>IF(M150&gt;0,I150/M150,"")</f>
        <v/>
      </c>
      <c r="Q150" s="89" t="str">
        <f>IF(B150="","",Calcul!E118)</f>
        <v/>
      </c>
      <c r="R150" s="92">
        <f>IF(AND(B150&lt;&gt;"",N(Calcul!L118)&gt;0),(Calcul!I118*(E150-Calcul!G118*F150-Calcul!H118*G150)+N(Calcul!J118)*F150+IF(Calcul!K118="",Calcul!I118,Calcul!K118)*G150+N(Calcul!L118)*H150)/1000000,0)</f>
        <v>0</v>
      </c>
      <c r="S150" s="93" t="str">
        <f>IF(R150&gt;0,I150/R150,"")</f>
        <v/>
      </c>
      <c r="T150" s="89" t="str">
        <f>IF(OR(B150="",D150=0),"",IF(S150="","Sans tarif",IF(AND(S150&gt;=0.895,S150&lt;=1.005),"✓ Cohérent","⚠ Hors plage")))</f>
        <v/>
      </c>
      <c r="U150" s="89" t="str">
        <f>IF(B150="","",IFERROR(INDEX(K_FamDec,MATCH(C150,K_FamNom,0)),""))</f>
        <v/>
      </c>
    </row>
  </sheetData>
  <pageMargins left="0.75" right="0.75" top="1" bottom="1" header="0.5" footer="0.5"/>
</worksheet>
</file>

<file path=xl/worksheets/sheet6.xml><?xml version="1.0" encoding="utf-8"?>
<worksheet xmlns="http://schemas.openxmlformats.org/spreadsheetml/2006/main">
  <sheetPr>
    <tabColor rgb="00C9CCD4"/>
    <outlinePr summaryBelow="1" summaryRight="1"/>
    <pageSetUpPr/>
  </sheetPr>
  <dimension ref="B2:B30"/>
  <sheetViews>
    <sheetView showGridLines="0" tabSelected="0" zoomScale="90" workbookViewId="0">
      <selection activeCell="A1" sqref="A1"/>
    </sheetView>
  </sheetViews>
  <sheetFormatPr baseColWidth="8" defaultRowHeight="15"/>
  <cols>
    <col width="2.5" customWidth="1" min="1" max="1"/>
    <col width="120" customWidth="1" min="2" max="2"/>
  </cols>
  <sheetData>
    <row r="2" ht="28" customHeight="1">
      <c r="B2" s="1" t="inlineStr">
        <is>
          <t>Méthodologie</t>
        </is>
      </c>
    </row>
    <row r="3">
      <c r="B3" s="2" t="inlineStr">
        <is>
          <t>Méthode « Contrôle des tokens GitHub Copilot pour l'empreinte carbone de l'inférence » du 20 octobre 2026.</t>
        </is>
      </c>
    </row>
    <row r="5">
      <c r="B5" s="94" t="inlineStr">
        <is>
          <t>Objet</t>
        </is>
      </c>
    </row>
    <row r="6" ht="30" customHeight="1">
      <c r="B6" s="4" t="inlineStr">
        <is>
          <t>Le classeur estime l'empreinte carbone de l'inférence des modèles utilisés via GitHub Copilot, jour par jour, à partir de l'export « AI usage report ». C'est la déclinaison Excel du tableau de bord HTML : mêmes formules, mêmes facteurs, mêmes contrôles.</t>
        </is>
      </c>
    </row>
    <row r="8">
      <c r="B8" s="94" t="inlineStr">
        <is>
          <t>Formules</t>
        </is>
      </c>
    </row>
    <row r="9" ht="45" customHeight="1">
      <c r="B9" s="4" t="inlineStr">
        <is>
          <t>Input frais : F = max(0, I − δ·CR − ε·CW). Tokens équivalent output : T_O = F·s_I + CR·s_CR + CW·s_CW + O, chaque catégorie étant pondérée par son prix rapporté au prix de l'output du même modèle (s_I = P_I / P_O, etc.). Énergie : E = T_O × e_O × PUE / 1000. Empreinte : CO₂e = T_O × FE_token.</t>
        </is>
      </c>
    </row>
    <row r="11">
      <c r="B11" s="94" t="inlineStr">
        <is>
          <t>Convention de l'input (δ, ε)</t>
        </is>
      </c>
    </row>
    <row r="12" ht="45" customHeight="1">
      <c r="B12" s="4" t="inlineStr">
        <is>
          <t>GitHub ne documente pas si la colonne input de l'export contient déjà le cache. Pour chaque modèle : convention forcée dans Calcul, sinon C2 (si CR + CW dépasse I sur au moins une ligne, la convention est forcément exclusive), sinon C3 (rapprochement des coûts de la famille), sinon la convention documentée de l'API du fournisseur.</t>
        </is>
      </c>
    </row>
    <row r="14">
      <c r="B14" s="94" t="inlineStr">
        <is>
          <t>Prix</t>
        </is>
      </c>
    </row>
    <row r="15" ht="75" customHeight="1">
      <c r="B15" s="4" t="inlineStr">
        <is>
          <t>Grille GitHub du 20 octobre 2026, palier standard, en dollars par million de tokens. Le palier long contexte n'est pas identifiable dans l'export. Quand le cache write n'est pas facturé mais que CW &gt; 0, s_CW = s_I. Le prix du cache read de Claude Sonnet 5.5 était de 0,20 $ avant le 1er octobre 2026 : les lignes antérieures utilisent la ligne « [ancien tarif] ». Claude Opus 4.5, 4.6, 4.7 et Claude Sonnet 4.5 ne figurent plus dans la grille GitHub : leurs tarifs publics de l'API Anthropic sont utilisés. Les modèles « Auto: X » utilisent les paramètres de X.</t>
        </is>
      </c>
    </row>
    <row r="17">
      <c r="B17" s="94" t="inlineStr">
        <is>
          <t>Facteurs d'émission</t>
        </is>
      </c>
    </row>
    <row r="18" ht="75" customHeight="1">
      <c r="B18" s="4" t="inlineStr">
        <is>
          <t>FE_token provient de votre table de facteurs en kgCO₂e par token (transmise le 23 octobre 2026), dont chaque ligne est marquée S (sourcé) ou H (hypothèse). Les modèles absents de la table sont calculés avec le Calculateur de Boris (carbon-footprint-modeling-tool de Boris Ruf, scénarios EcoLogits v2, commit 50bc8b0) : FE = PUE (1,2) × énergie GPU + serveur par token × intensité du mix électrique + fabrication du matériel par token (scope 3). Les modèles de 2026 absents du Calculateur de Boris sont rattachés au scénario le plus proche (marqués « proxy »).</t>
        </is>
      </c>
    </row>
    <row r="20">
      <c r="B20" s="94" t="inlineStr">
        <is>
          <t>Mix électrique</t>
        </is>
      </c>
    </row>
    <row r="21" ht="45" customHeight="1">
      <c r="B21" s="4" t="inlineStr">
        <is>
          <t>Les régions d'hébergement des modèles ne sont pas publiées : le mix est traité en scénarios (France 2020 EEA 51,1 g/kWh par défaut ; UE 2025 IEA 170 ; Monde 2025 IEA 435 ; USA 2021 OWID 379 ; Azure USA 352,8 ; Monde EcoLogits 590,5). Les valeurs IEA portent sur le CO₂ seul.</t>
        </is>
      </c>
    </row>
    <row r="23">
      <c r="B23" s="94" t="inlineStr">
        <is>
          <t>Projection</t>
        </is>
      </c>
    </row>
    <row r="24" ht="60" customHeight="1">
      <c r="B24" s="4" t="inlineStr">
        <is>
          <t>L'atterrissage de fin d'année prolonge le rythme quotidien moyen des N derniers jours de données (28 par défaut), ajusté du pourcentage choisi, jusqu'au 31 décembre. C'est une version simplifiée du modèle de projection du tableau HTML (utilisateurs × activité × usage × intensité) : Excel n'en reprend pas la fourchette P10–P90. La fourchette affichée applique au résultat central les multiplicateurs d'incertitude de Calcul (×0,5 et ×2 par défaut).</t>
        </is>
      </c>
    </row>
    <row r="26">
      <c r="B26" s="94" t="inlineStr">
        <is>
          <t>Contrôles</t>
        </is>
      </c>
    </row>
    <row r="27" ht="60" customHeight="1">
      <c r="B27" s="4" t="inlineStr">
        <is>
          <t>C1 complétude de l'import ; C2 cache supérieur à l'input ; C3 rapprochement des coûts par famille (rapport attendu entre 0,90 et 1,00) ; C4 cas particuliers ; C5 boucle globale des coûts ; C6 sensibilité aux facteurs et au mix. Les montants utilisés sont gross_amount (aic_gross_amount est vide dans les exports réels). Dans Excel, C3 est agrégé par famille sur toutes les lignes, alors que le tableau HTML teste les cinq lignes les plus discriminantes : la décision est la même sur l'export d'exemple.</t>
        </is>
      </c>
    </row>
    <row r="29">
      <c r="B29" s="94" t="inlineStr">
        <is>
          <t>Limites</t>
        </is>
      </c>
    </row>
    <row r="30" ht="30" customHeight="1">
      <c r="B30" s="4" t="inlineStr">
        <is>
          <t>EcoLogits ne compte que les tokens générés : appliquer un facteur par token généré à T_O, qui intègre l'input et le cache pondérés par les prix, est une extension de méthode à déclarer. L'export ne contient pas de nombre de requêtes.</t>
        </is>
      </c>
    </row>
  </sheetData>
  <pageMargins left="0.75" right="0.75" top="1" bottom="1" header="0.5" footer="0.5"/>
</worksheet>
</file>

<file path=xl/worksheets/sheet7.xml><?xml version="1.0" encoding="utf-8"?>
<worksheet xmlns="http://schemas.openxmlformats.org/spreadsheetml/2006/main">
  <sheetPr>
    <tabColor rgb="00D99A00"/>
    <outlinePr summaryBelow="1" summaryRight="1"/>
    <pageSetUpPr/>
  </sheetPr>
  <dimension ref="A1:AK2"/>
  <sheetViews>
    <sheetView showGridLines="0" tabSelected="0" zoomScale="9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2" customWidth="1" min="7" max="7"/>
    <col width="22" customWidth="1" min="8" max="8"/>
    <col width="15" customWidth="1" min="9" max="9"/>
    <col width="18" customWidth="1" min="10" max="10"/>
    <col width="13" customWidth="1" min="11" max="11"/>
    <col width="22" customWidth="1" min="12" max="12"/>
    <col width="15" customWidth="1" min="13" max="13"/>
    <col width="16" customWidth="1" min="14" max="14"/>
    <col width="13" customWidth="1" min="15" max="15"/>
    <col width="19" customWidth="1" min="16" max="16"/>
    <col width="15" customWidth="1" min="17" max="17"/>
    <col width="19" customWidth="1" min="18" max="18"/>
    <col width="11" customWidth="1" min="19" max="19"/>
    <col width="11" customWidth="1" min="20" max="20"/>
    <col width="13" customWidth="1" min="21" max="21"/>
    <col width="14" customWidth="1" min="22" max="22"/>
    <col width="11" customWidth="1" min="23" max="23"/>
    <col width="11" customWidth="1" min="24" max="24"/>
    <col width="13" customWidth="1" min="25" max="25"/>
    <col width="11" customWidth="1" min="26" max="26"/>
    <col width="11" customWidth="1" min="27" max="27"/>
    <col width="16" customWidth="1" min="28" max="28"/>
    <col width="11" customWidth="1" min="29" max="29"/>
    <col width="14" customWidth="1" min="30" max="30"/>
    <col width="11" customWidth="1" min="31" max="31"/>
    <col width="15" customWidth="1" min="32" max="32"/>
    <col width="11" customWidth="1" min="33" max="33"/>
    <col width="11" customWidth="1" min="34" max="34"/>
    <col width="21" customWidth="1" min="35" max="35"/>
    <col width="22" customWidth="1" min="36" max="36"/>
    <col width="19" customWidth="1" min="37" max="37"/>
  </cols>
  <sheetData>
    <row r="1">
      <c r="A1" s="95" t="inlineStr">
        <is>
          <t>date</t>
        </is>
      </c>
      <c r="B1" s="95" t="inlineStr">
        <is>
          <t>username</t>
        </is>
      </c>
      <c r="C1" s="95" t="inlineStr">
        <is>
          <t>product</t>
        </is>
      </c>
      <c r="D1" s="95" t="inlineStr">
        <is>
          <t>sku</t>
        </is>
      </c>
      <c r="E1" s="95" t="inlineStr">
        <is>
          <t>model</t>
        </is>
      </c>
      <c r="F1" s="95" t="inlineStr">
        <is>
          <t>quantity</t>
        </is>
      </c>
      <c r="G1" s="95" t="inlineStr">
        <is>
          <t>unit-type</t>
        </is>
      </c>
      <c r="H1" s="95" t="inlineStr">
        <is>
          <t>applied_cost_per_quantity</t>
        </is>
      </c>
      <c r="I1" s="95" t="inlineStr">
        <is>
          <t>gross_amount</t>
        </is>
      </c>
      <c r="J1" s="95" t="inlineStr">
        <is>
          <t>discount_amount</t>
        </is>
      </c>
      <c r="K1" s="95" t="inlineStr">
        <is>
          <t>net_amount</t>
        </is>
      </c>
      <c r="L1" s="95" t="inlineStr">
        <is>
          <t>total_monthly_quota</t>
        </is>
      </c>
      <c r="M1" s="95" t="inlineStr">
        <is>
          <t>organization</t>
        </is>
      </c>
      <c r="N1" s="95" t="inlineStr">
        <is>
          <t>app_client_id</t>
        </is>
      </c>
      <c r="O1" s="95" t="inlineStr">
        <is>
          <t>repository</t>
        </is>
      </c>
      <c r="P1" s="95" t="inlineStr">
        <is>
          <t>cost_center_name</t>
        </is>
      </c>
      <c r="Q1" s="95" t="inlineStr">
        <is>
          <t>aic_quantity</t>
        </is>
      </c>
      <c r="R1" s="95" t="inlineStr">
        <is>
          <t>aic_gross_amount</t>
        </is>
      </c>
      <c r="S1" s="95" t="inlineStr">
        <is>
          <t>input</t>
        </is>
      </c>
      <c r="T1" s="95" t="inlineStr">
        <is>
          <t>output</t>
        </is>
      </c>
      <c r="U1" s="95" t="inlineStr">
        <is>
          <t>cache_read</t>
        </is>
      </c>
      <c r="V1" s="95" t="inlineStr">
        <is>
          <t>cache_write</t>
        </is>
      </c>
      <c r="W1" s="96" t="inlineStr">
        <is>
          <t>Modele</t>
        </is>
      </c>
      <c r="X1" s="96" t="inlineStr">
        <is>
          <t>Jour</t>
        </is>
      </c>
      <c r="Y1" s="96" t="inlineStr">
        <is>
          <t>Modele_cle</t>
        </is>
      </c>
      <c r="Z1" s="96" t="inlineStr">
        <is>
          <t>Ligne</t>
        </is>
      </c>
      <c r="AA1" s="96" t="inlineStr">
        <is>
          <t>Groupe</t>
        </is>
      </c>
      <c r="AB1" s="96" t="inlineStr">
        <is>
          <t>F_input_frais</t>
        </is>
      </c>
      <c r="AC1" s="96" t="inlineStr">
        <is>
          <t>T_O</t>
        </is>
      </c>
      <c r="AD1" s="96" t="inlineStr">
        <is>
          <t>Energie_kWh</t>
        </is>
      </c>
      <c r="AE1" s="96" t="inlineStr">
        <is>
          <t>CO2e_kg</t>
        </is>
      </c>
      <c r="AF1" s="96" t="inlineStr">
        <is>
          <t>Montant_brut</t>
        </is>
      </c>
      <c r="AG1" s="96" t="inlineStr">
        <is>
          <t>Annee</t>
        </is>
      </c>
      <c r="AH1" s="96" t="inlineStr">
        <is>
          <t>Mois</t>
        </is>
      </c>
      <c r="AI1" s="96" t="inlineStr">
        <is>
          <t>C2_cache_sup_input</t>
        </is>
      </c>
      <c r="AJ1" s="96" t="inlineStr">
        <is>
          <t>C4_input_frais_negatif</t>
        </is>
      </c>
      <c r="AK1" s="96" t="inlineStr">
        <is>
          <t>C4_CW_sans_tarif</t>
        </is>
      </c>
    </row>
    <row r="2">
      <c r="A2" s="97" t="n"/>
      <c r="B2" s="89" t="n"/>
      <c r="C2" s="89" t="n"/>
      <c r="D2" s="89" t="n"/>
      <c r="E2" s="89" t="n"/>
      <c r="F2" s="89" t="n"/>
      <c r="G2" s="89" t="n"/>
      <c r="H2" s="89" t="n"/>
      <c r="I2" s="89" t="n"/>
      <c r="J2" s="89" t="n"/>
      <c r="K2" s="89" t="n"/>
      <c r="L2" s="89" t="n"/>
      <c r="M2" s="89" t="n"/>
      <c r="N2" s="89" t="n"/>
      <c r="O2" s="89" t="n"/>
      <c r="P2" s="89" t="n"/>
      <c r="Q2" s="89" t="n"/>
      <c r="R2" s="89" t="n"/>
      <c r="S2" s="89" t="n"/>
      <c r="T2" s="89" t="n"/>
      <c r="U2" s="89" t="n"/>
      <c r="V2" s="89" t="n"/>
      <c r="W2" s="98" t="str">
        <f>IF(TData[[#This Row],[date]]="","",IF(LEFT(TRIM(TData[[#This Row],[model]]),5)="Auto:",TRIM(MID(TRIM(TData[[#This Row],[model]]),6,200)),TRIM(TData[[#This Row],[model]])))</f>
        <v/>
      </c>
      <c r="X2" s="99" t="str">
        <f>IF(TData[[#This Row],[date]]="","",IFERROR(IF(ISNUMBER(TData[[#This Row],[date]]),INT(TData[[#This Row],[date]]),DATEVALUE(TData[[#This Row],[date]])),""))</f>
        <v/>
      </c>
      <c r="Y2" s="98" t="str">
        <f>IF(TData[[#This Row],[Modele]]="","",IF(COUNTIFS(M_Nom,TData[[#This Row],[Modele]]&amp;" [ancien tarif]",M_Avant,"&gt;"&amp;TData[[#This Row],[Jour]])&gt;0,TData[[#This Row],[Modele]]&amp;" [ancien tarif]",TData[[#This Row],[Modele]]))</f>
        <v/>
      </c>
      <c r="Z2" s="100" t="str">
        <f>IF(OR(TData[[#This Row],[Modele_cle]]="",AND(TData[[#This Row],[product]]&lt;&gt;"",ISERROR(SEARCH("copilot",TData[[#This Row],[product]])))),"",IFERROR(MATCH(TData[[#This Row],[Modele_cle]],M_Nom,0),MATCH("(Autre modèle)",M_Nom,0)))</f>
        <v/>
      </c>
      <c r="AA2" s="98" t="str">
        <f>IF(TData[[#This Row],[Ligne]]="","",SUBSTITUTE(INDEX(M_Nom,TData[[#This Row],[Ligne]])," [ancien tarif]",""))</f>
        <v/>
      </c>
      <c r="AB2" s="101" t="str">
        <f>IF(TData[[#This Row],[Ligne]]="","",MAX(0,N(TData[[#This Row],[input]])-INDEX(M_Delta,TData[[#This Row],[Ligne]])*N(TData[[#This Row],[cache_read]])-INDEX(M_Eps,TData[[#This Row],[Ligne]])*N(TData[[#This Row],[cache_write]])))</f>
        <v/>
      </c>
      <c r="AC2" s="101" t="str">
        <f>IF(TData[[#This Row],[Ligne]]="","",TData[[#This Row],[F_input_frais]]*INDEX(M_sI,TData[[#This Row],[Ligne]])+N(TData[[#This Row],[cache_read]])*INDEX(M_sCR,TData[[#This Row],[Ligne]])+N(TData[[#This Row],[cache_write]])*INDEX(M_sCW,TData[[#This Row],[Ligne]])+N(TData[[#This Row],[output]]))</f>
        <v/>
      </c>
      <c r="AD2" s="102" t="str">
        <f>IF(TData[[#This Row],[Ligne]]="","",TData[[#This Row],[T_O]]*INDEX(M_eO,TData[[#This Row],[Ligne]])*INDEX(M_PUE,TData[[#This Row],[Ligne]])/1000)</f>
        <v/>
      </c>
      <c r="AE2" s="102" t="str">
        <f>IF(TData[[#This Row],[Ligne]]="","",TData[[#This Row],[T_O]]*INDEX(M_FE,TData[[#This Row],[Ligne]]))</f>
        <v/>
      </c>
      <c r="AF2" s="103" t="str">
        <f>IF(TData[[#This Row],[date]]="","",IF(ISNUMBER(TData[[#This Row],[gross_amount]]),TData[[#This Row],[gross_amount]],IFERROR(VALUE(SUBSTITUTE(TData[[#This Row],[gross_amount]],".",MID(1/2,2,1))),0)))</f>
        <v/>
      </c>
      <c r="AG2" s="100" t="str">
        <f>IF(TData[[#This Row],[Jour]]="","",YEAR(TData[[#This Row],[Jour]]))</f>
        <v/>
      </c>
      <c r="AH2" s="100" t="str">
        <f>IF(TData[[#This Row],[Jour]]="","",MONTH(TData[[#This Row],[Jour]]))</f>
        <v/>
      </c>
      <c r="AI2" s="100" t="str">
        <f>IF(TData[[#This Row],[Ligne]]="","",IF(N(TData[[#This Row],[cache_read]])+N(TData[[#This Row],[cache_write]])&gt;N(TData[[#This Row],[input]]),1,0))</f>
        <v/>
      </c>
      <c r="AJ2" s="100" t="str">
        <f>IF(TData[[#This Row],[Ligne]]="","",IF(N(TData[[#This Row],[input]])-INDEX(M_Delta,TData[[#This Row],[Ligne]])*N(TData[[#This Row],[cache_read]])-INDEX(M_Eps,TData[[#This Row],[Ligne]])*N(TData[[#This Row],[cache_write]])&lt;0,1,0))</f>
        <v/>
      </c>
      <c r="AK2" s="100" t="str">
        <f>IF(TData[[#This Row],[Ligne]]="","",IF(AND(N(TData[[#This Row],[cache_write]])&gt;0,INDEX(M_PCW,TData[[#This Row],[Ligne]])="",N(INDEX(M_PO,TData[[#This Row],[Ligne]]))&gt;0),1,0))</f>
        <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E6E8ED"/>
    <outlinePr summaryBelow="1" summaryRight="1"/>
    <pageSetUpPr/>
  </sheetPr>
  <dimension ref="A2:L395"/>
  <sheetViews>
    <sheetView showGridLines="0" tabSelected="0" zoomScale="90" workbookViewId="0">
      <selection activeCell="A1" sqref="A1"/>
    </sheetView>
  </sheetViews>
  <sheetFormatPr baseColWidth="8" defaultRowHeight="15"/>
  <cols>
    <col width="2.5" customWidth="1" min="1" max="1"/>
    <col width="36" customWidth="1" min="2" max="2"/>
    <col width="14" customWidth="1" min="3" max="3"/>
    <col width="12" customWidth="1" min="4" max="4"/>
    <col width="16" customWidth="1" min="5" max="5"/>
    <col width="14" customWidth="1" min="6" max="6"/>
    <col width="14" customWidth="1" min="7" max="7"/>
    <col width="16" customWidth="1" min="8" max="8"/>
    <col width="12" customWidth="1" min="10" max="10"/>
    <col width="26" customWidth="1" min="11" max="11"/>
    <col width="8" customWidth="1" min="12" max="12"/>
  </cols>
  <sheetData>
    <row r="2">
      <c r="B2" s="5" t="inlineStr">
        <is>
          <t>Calculs intermédiaires (ne pas modifier)</t>
        </is>
      </c>
    </row>
    <row r="3">
      <c r="J3" s="39" t="inlineStr">
        <is>
          <t>Rang</t>
        </is>
      </c>
      <c r="K3" s="40" t="inlineStr">
        <is>
          <t>Top modèle</t>
        </is>
      </c>
      <c r="L3" s="40" t="inlineStr">
        <is>
          <t>Ligne</t>
        </is>
      </c>
    </row>
    <row r="4">
      <c r="B4" s="89" t="inlineStr">
        <is>
          <t>Données présentes</t>
        </is>
      </c>
      <c r="C4" s="89" t="b">
        <f>COUNT(D_Jour)&gt;0</f>
        <v>0</v>
      </c>
      <c r="J4" s="89" t="n">
        <v>1</v>
      </c>
      <c r="K4" s="89" t="str">
        <f>IF(INDEX(I_CO2,L4)&gt;0,INDEX(I_Nom,L4),"")</f>
        <v/>
      </c>
      <c r="L4" s="104">
        <f>MATCH(LARGE(I_Key,J4),I_Key,0)</f>
        <v>1</v>
      </c>
    </row>
    <row r="5">
      <c r="B5" s="89" t="inlineStr">
        <is>
          <t>Dernier jour de données</t>
        </is>
      </c>
      <c r="C5" s="97">
        <f>IF(S_Has,MAX(D_Jour),DATE(S_An,1,1))</f>
        <v>46023.0</v>
      </c>
      <c r="J5" s="89" t="n">
        <v>2</v>
      </c>
      <c r="K5" s="89" t="str">
        <f>IF(INDEX(I_CO2,L5)&gt;0,INDEX(I_Nom,L5),"")</f>
        <v/>
      </c>
      <c r="L5" s="104">
        <f>MATCH(LARGE(I_Key,J5),I_Key,0)</f>
        <v>2</v>
      </c>
    </row>
    <row r="6">
      <c r="B6" s="89" t="inlineStr">
        <is>
          <t>Premier jour de données</t>
        </is>
      </c>
      <c r="C6" s="97">
        <f>IF(S_Has,MIN(D_Jour),DATE(S_An,1,1))</f>
        <v>46023.0</v>
      </c>
      <c r="J6" s="89" t="n">
        <v>3</v>
      </c>
      <c r="K6" s="89" t="str">
        <f>IF(INDEX(I_CO2,L6)&gt;0,INDEX(I_Nom,L6),"")</f>
        <v/>
      </c>
      <c r="L6" s="104">
        <f>MATCH(LARGE(I_Key,J6),I_Key,0)</f>
        <v>3</v>
      </c>
    </row>
    <row r="7">
      <c r="B7" s="89" t="inlineStr">
        <is>
          <t>Année en cours (projection active)</t>
        </is>
      </c>
      <c r="C7" s="89" t="b">
        <f>AND(S_Has,YEAR(S_Last)=S_An,S_Last&lt;DATE(S_An,12,31))</f>
        <v>0</v>
      </c>
      <c r="J7" s="89" t="n">
        <v>4</v>
      </c>
      <c r="K7" s="89" t="str">
        <f>IF(INDEX(I_CO2,L7)&gt;0,INDEX(I_Nom,L7),"")</f>
        <v/>
      </c>
      <c r="L7" s="104">
        <f>MATCH(LARGE(I_Key,J7),I_Key,0)</f>
        <v>4</v>
      </c>
    </row>
    <row r="8">
      <c r="B8" s="89" t="inlineStr">
        <is>
          <t>Rythme projeté (kgCO₂e/jour)</t>
        </is>
      </c>
      <c r="C8" s="93">
        <f>IF(S_Has,SUMIFS(D_CO2,D_Jour,"&gt;"&amp;(S_Last-P_N),D_Jour,"&lt;="&amp;S_Last)/MAX(1,P_N)*(1+P_Adj),0)</f>
        <v>0</v>
      </c>
      <c r="J8" s="89" t="n">
        <v>5</v>
      </c>
      <c r="K8" s="89" t="str">
        <f>IF(INDEX(I_CO2,L8)&gt;0,INDEX(I_Nom,L8),"")</f>
        <v/>
      </c>
      <c r="L8" s="104">
        <f>MATCH(LARGE(I_Key,J8),I_Key,0)</f>
        <v>5</v>
      </c>
    </row>
    <row r="9">
      <c r="B9" s="89" t="inlineStr">
        <is>
          <t>Émissions de l'année (kg)</t>
        </is>
      </c>
      <c r="C9" s="93">
        <f>SUMIFS(D_CO2,D_An,S_An)</f>
        <v>0</v>
      </c>
      <c r="J9" s="89" t="n">
        <v>6</v>
      </c>
      <c r="K9" s="89" t="str">
        <f>IF(INDEX(I_CO2,L9)&gt;0,INDEX(I_Nom,L9),"")</f>
        <v/>
      </c>
      <c r="L9" s="104">
        <f>MATCH(LARGE(I_Key,J9),I_Key,0)</f>
        <v>6</v>
      </c>
    </row>
    <row r="10">
      <c r="B10" s="89" t="inlineStr">
        <is>
          <t>Jours restants projetés</t>
        </is>
      </c>
      <c r="C10" s="104">
        <f>IF(S_Cur,DATE(S_An,12,31)-S_Last,0)</f>
        <v>0</v>
      </c>
      <c r="J10" s="89" t="n">
        <v>7</v>
      </c>
      <c r="K10" s="89" t="str">
        <f>IF(INDEX(I_CO2,L10)&gt;0,INDEX(I_Nom,L10),"")</f>
        <v/>
      </c>
      <c r="L10" s="104">
        <f>MATCH(LARGE(I_Key,J10),I_Key,0)</f>
        <v>7</v>
      </c>
    </row>
    <row r="11">
      <c r="B11" s="89" t="inlineStr">
        <is>
          <t>Atterrissage fin d'année (kg)</t>
        </is>
      </c>
      <c r="C11" s="93">
        <f>S_YTD+S_Rate*S_Rest</f>
        <v>0</v>
      </c>
      <c r="J11" s="89" t="n">
        <v>8</v>
      </c>
      <c r="K11" s="89" t="str">
        <f>IF(INDEX(I_CO2,L11)&gt;0,INDEX(I_Nom,L11),"")</f>
        <v/>
      </c>
      <c r="L11" s="104">
        <f>MATCH(LARGE(I_Key,J11),I_Key,0)</f>
        <v>8</v>
      </c>
    </row>
    <row r="12">
      <c r="B12" s="89" t="inlineStr">
        <is>
          <t>Date de coupure comparaisons</t>
        </is>
      </c>
      <c r="C12" s="97">
        <f>IF(S_Cur,S_Last,DATE(S_An,12,31))</f>
        <v>46387.0</v>
      </c>
    </row>
    <row r="13">
      <c r="B13" s="89" t="inlineStr">
        <is>
          <t>Année, jusqu'à la coupure (kg)</t>
        </is>
      </c>
      <c r="C13" s="93">
        <f>SUMIFS(D_CO2,D_Jour,"&gt;="&amp;DATE(S_An,1,1),D_Jour,"&lt;="&amp;S_Cut)</f>
        <v>0</v>
      </c>
    </row>
    <row r="14">
      <c r="B14" s="89" t="inlineStr">
        <is>
          <t>Année précédente, même période (kg)</t>
        </is>
      </c>
      <c r="C14" s="93">
        <f>SUMIFS(D_CO2,D_Jour,"&gt;="&amp;DATE(S_An-1,1,1),D_Jour,"&lt;="&amp;EDATE(S_Cut,-12))</f>
        <v>0</v>
      </c>
    </row>
    <row r="15">
      <c r="B15" s="89" t="inlineStr">
        <is>
          <t>Fin du dernier mois complet</t>
        </is>
      </c>
      <c r="C15" s="97">
        <f>IF(S_Cur,IF(S_Last=EOMONTH(S_Last,0),S_Last,EOMONTH(S_Last,-1)),DATE(S_An,12,31))</f>
        <v>46387.0</v>
      </c>
    </row>
    <row r="16">
      <c r="B16" s="89" t="inlineStr">
        <is>
          <t>Dernier mois complet (kg)</t>
        </is>
      </c>
      <c r="C16" s="93">
        <f>IF(S_LCM&lt;DATE(S_An,1,1),0,SUMIFS(D_CO2,D_Jour,"&gt;"&amp;EOMONTH(S_LCM,-1),D_Jour,"&lt;="&amp;S_LCM))</f>
        <v>0</v>
      </c>
    </row>
    <row r="17">
      <c r="B17" s="89" t="inlineStr">
        <is>
          <t>Même mois, année précédente (kg)</t>
        </is>
      </c>
      <c r="C17" s="93">
        <f>SUMIFS(D_CO2,D_Jour,"&gt;"&amp;EOMONTH(S_LCM,-13),D_Jour,"&lt;="&amp;EOMONTH(S_LCM,-12))</f>
        <v>0</v>
      </c>
    </row>
    <row r="18">
      <c r="B18" s="89" t="inlineStr">
        <is>
          <t>Année précédente complète (kg)</t>
        </is>
      </c>
      <c r="C18" s="93">
        <f>SUMIFS(D_CO2,D_An,S_An-1)</f>
        <v>0</v>
      </c>
    </row>
    <row r="19">
      <c r="B19" s="89" t="inlineStr">
        <is>
          <t>Tokens éq. output de l'année</t>
        </is>
      </c>
      <c r="C19" s="90">
        <f>SUMIFS(D_TO,D_An,S_An)</f>
        <v>0</v>
      </c>
    </row>
    <row r="20">
      <c r="B20" s="89" t="inlineStr">
        <is>
          <t>Énergie de l'année (kWh)</t>
        </is>
      </c>
      <c r="C20" s="93">
        <f>SUMIFS(D_kWh,D_An,S_An)</f>
        <v>0</v>
      </c>
    </row>
    <row r="21">
      <c r="B21" s="89" t="inlineStr">
        <is>
          <t>Coût brut de l'année ($)</t>
        </is>
      </c>
      <c r="C21" s="105">
        <f>SUMIFS(D_Brut,D_An,S_An)</f>
        <v>0</v>
      </c>
    </row>
    <row r="22">
      <c r="B22" s="89" t="inlineStr">
        <is>
          <t>Lignes de l'année</t>
        </is>
      </c>
      <c r="C22" s="90">
        <f>COUNTIFS(D_An,S_An)</f>
        <v>0</v>
      </c>
    </row>
    <row r="23"/>
    <row r="24">
      <c r="B24" s="106" t="inlineStr">
        <is>
          <t>Agrégats par modèle (alignés ligne à ligne sur la table des modèles de Calcul) et série quotidienne de l'année affichée.</t>
        </is>
      </c>
    </row>
    <row r="25"/>
    <row r="26"/>
    <row r="27"/>
    <row r="28"/>
    <row r="29">
      <c r="B29" s="39" t="inlineStr">
        <is>
          <t>Modèle</t>
        </is>
      </c>
      <c r="C29" s="40" t="inlineStr">
        <is>
          <t>kgCO₂e année</t>
        </is>
      </c>
      <c r="D29" s="40" t="inlineStr">
        <is>
          <t>kWh année</t>
        </is>
      </c>
      <c r="E29" s="40" t="inlineStr">
        <is>
          <t>T_O année</t>
        </is>
      </c>
      <c r="F29" s="40" t="inlineStr">
        <is>
          <t>Coût brut année</t>
        </is>
      </c>
      <c r="G29" s="40" t="inlineStr">
        <is>
          <t>Clé de tri</t>
        </is>
      </c>
      <c r="H29" s="40" t="inlineStr">
        <is>
          <t>T_O toutes années</t>
        </is>
      </c>
      <c r="J29" s="39" t="inlineStr">
        <is>
          <t>Jour</t>
        </is>
      </c>
      <c r="K29" s="40" t="inlineStr">
        <is>
          <t>kgCO₂e</t>
        </is>
      </c>
    </row>
    <row r="30">
      <c r="B30" s="89" t="str">
        <f>IF(Calcul!B30="","",Calcul!B30)</f>
        <v>GPT-5.3-Codex</v>
      </c>
      <c r="C30" s="93">
        <f>IF(B30="",0,SUMIFS(D_CO2,D_Grp,B30,D_An,S_An))</f>
        <v>0</v>
      </c>
      <c r="D30" s="93">
        <f>IF(B30="",0,SUMIFS(D_kWh,D_Grp,B30,D_An,S_An))</f>
        <v>0</v>
      </c>
      <c r="E30" s="90">
        <f>IF(B30="",0,SUMIFS(D_TO,D_Grp,B30,D_An,S_An))</f>
        <v>0</v>
      </c>
      <c r="F30" s="105">
        <f>IF(B30="",0,SUMIFS(D_Brut,D_Grp,B30,D_An,S_An))</f>
        <v>0</v>
      </c>
      <c r="G30" s="107">
        <f>IF(B30="",-1,C30)-ROW()*1E-12</f>
        <v>-3e-11</v>
      </c>
      <c r="H30" s="90">
        <f>IF(B30="",0,SUMIFS(D_TO,D_Grp,B30))</f>
        <v>0</v>
      </c>
      <c r="J30" s="97">
        <f>DATE(S_An,1,1)+0</f>
        <v>46023.0</v>
      </c>
      <c r="K30" s="93">
        <f>SUMIFS(D_CO2,D_Jour,J30)</f>
        <v>0</v>
      </c>
    </row>
    <row r="31">
      <c r="B31" s="89" t="str">
        <f>IF(Calcul!B31="","",Calcul!B31)</f>
        <v>GPT-5.4 nano</v>
      </c>
      <c r="C31" s="93">
        <f>IF(B31="",0,SUMIFS(D_CO2,D_Grp,B31,D_An,S_An))</f>
        <v>0</v>
      </c>
      <c r="D31" s="93">
        <f>IF(B31="",0,SUMIFS(D_kWh,D_Grp,B31,D_An,S_An))</f>
        <v>0</v>
      </c>
      <c r="E31" s="90">
        <f>IF(B31="",0,SUMIFS(D_TO,D_Grp,B31,D_An,S_An))</f>
        <v>0</v>
      </c>
      <c r="F31" s="105">
        <f>IF(B31="",0,SUMIFS(D_Brut,D_Grp,B31,D_An,S_An))</f>
        <v>0</v>
      </c>
      <c r="G31" s="107">
        <f>IF(B31="",-1,C31)-ROW()*1E-12</f>
        <v>-3.1e-11</v>
      </c>
      <c r="H31" s="90">
        <f>IF(B31="",0,SUMIFS(D_TO,D_Grp,B31))</f>
        <v>0</v>
      </c>
      <c r="J31" s="97">
        <f>DATE(S_An,1,1)+1</f>
        <v>46024.0</v>
      </c>
      <c r="K31" s="93">
        <f>SUMIFS(D_CO2,D_Jour,J31)</f>
        <v>0</v>
      </c>
    </row>
    <row r="32">
      <c r="B32" s="89" t="str">
        <f>IF(Calcul!B32="","",Calcul!B32)</f>
        <v>GPT-5.6 Luna</v>
      </c>
      <c r="C32" s="93">
        <f>IF(B32="",0,SUMIFS(D_CO2,D_Grp,B32,D_An,S_An))</f>
        <v>0</v>
      </c>
      <c r="D32" s="93">
        <f>IF(B32="",0,SUMIFS(D_kWh,D_Grp,B32,D_An,S_An))</f>
        <v>0</v>
      </c>
      <c r="E32" s="90">
        <f>IF(B32="",0,SUMIFS(D_TO,D_Grp,B32,D_An,S_An))</f>
        <v>0</v>
      </c>
      <c r="F32" s="105">
        <f>IF(B32="",0,SUMIFS(D_Brut,D_Grp,B32,D_An,S_An))</f>
        <v>0</v>
      </c>
      <c r="G32" s="107">
        <f>IF(B32="",-1,C32)-ROW()*1E-12</f>
        <v>-3.2e-11</v>
      </c>
      <c r="H32" s="90">
        <f>IF(B32="",0,SUMIFS(D_TO,D_Grp,B32))</f>
        <v>0</v>
      </c>
      <c r="J32" s="97">
        <f>DATE(S_An,1,1)+2</f>
        <v>46025.0</v>
      </c>
      <c r="K32" s="93">
        <f>SUMIFS(D_CO2,D_Jour,J32)</f>
        <v>0</v>
      </c>
    </row>
    <row r="33">
      <c r="B33" s="89" t="str">
        <f>IF(Calcul!B33="","",Calcul!B33)</f>
        <v>GPT-5.6 Terra</v>
      </c>
      <c r="C33" s="93">
        <f>IF(B33="",0,SUMIFS(D_CO2,D_Grp,B33,D_An,S_An))</f>
        <v>0</v>
      </c>
      <c r="D33" s="93">
        <f>IF(B33="",0,SUMIFS(D_kWh,D_Grp,B33,D_An,S_An))</f>
        <v>0</v>
      </c>
      <c r="E33" s="90">
        <f>IF(B33="",0,SUMIFS(D_TO,D_Grp,B33,D_An,S_An))</f>
        <v>0</v>
      </c>
      <c r="F33" s="105">
        <f>IF(B33="",0,SUMIFS(D_Brut,D_Grp,B33,D_An,S_An))</f>
        <v>0</v>
      </c>
      <c r="G33" s="107">
        <f>IF(B33="",-1,C33)-ROW()*1E-12</f>
        <v>-3.3e-11</v>
      </c>
      <c r="H33" s="90">
        <f>IF(B33="",0,SUMIFS(D_TO,D_Grp,B33))</f>
        <v>0</v>
      </c>
      <c r="J33" s="97">
        <f>DATE(S_An,1,1)+3</f>
        <v>46026.0</v>
      </c>
      <c r="K33" s="93">
        <f>SUMIFS(D_CO2,D_Jour,J33)</f>
        <v>0</v>
      </c>
    </row>
    <row r="34">
      <c r="B34" s="89" t="str">
        <f>IF(Calcul!B34="","",Calcul!B34)</f>
        <v>GPT-5.6 Sol</v>
      </c>
      <c r="C34" s="93">
        <f>IF(B34="",0,SUMIFS(D_CO2,D_Grp,B34,D_An,S_An))</f>
        <v>0</v>
      </c>
      <c r="D34" s="93">
        <f>IF(B34="",0,SUMIFS(D_kWh,D_Grp,B34,D_An,S_An))</f>
        <v>0</v>
      </c>
      <c r="E34" s="90">
        <f>IF(B34="",0,SUMIFS(D_TO,D_Grp,B34,D_An,S_An))</f>
        <v>0</v>
      </c>
      <c r="F34" s="105">
        <f>IF(B34="",0,SUMIFS(D_Brut,D_Grp,B34,D_An,S_An))</f>
        <v>0</v>
      </c>
      <c r="G34" s="107">
        <f>IF(B34="",-1,C34)-ROW()*1E-12</f>
        <v>-3.4e-11</v>
      </c>
      <c r="H34" s="90">
        <f>IF(B34="",0,SUMIFS(D_TO,D_Grp,B34))</f>
        <v>0</v>
      </c>
      <c r="J34" s="97">
        <f>DATE(S_An,1,1)+4</f>
        <v>46027.0</v>
      </c>
      <c r="K34" s="93">
        <f>SUMIFS(D_CO2,D_Jour,J34)</f>
        <v>0</v>
      </c>
    </row>
    <row r="35">
      <c r="B35" s="89" t="str">
        <f>IF(Calcul!B35="","",Calcul!B35)</f>
        <v>GPT-6 Luna</v>
      </c>
      <c r="C35" s="93">
        <f>IF(B35="",0,SUMIFS(D_CO2,D_Grp,B35,D_An,S_An))</f>
        <v>0</v>
      </c>
      <c r="D35" s="93">
        <f>IF(B35="",0,SUMIFS(D_kWh,D_Grp,B35,D_An,S_An))</f>
        <v>0</v>
      </c>
      <c r="E35" s="90">
        <f>IF(B35="",0,SUMIFS(D_TO,D_Grp,B35,D_An,S_An))</f>
        <v>0</v>
      </c>
      <c r="F35" s="105">
        <f>IF(B35="",0,SUMIFS(D_Brut,D_Grp,B35,D_An,S_An))</f>
        <v>0</v>
      </c>
      <c r="G35" s="107">
        <f>IF(B35="",-1,C35)-ROW()*1E-12</f>
        <v>-3.5e-11</v>
      </c>
      <c r="H35" s="90">
        <f>IF(B35="",0,SUMIFS(D_TO,D_Grp,B35))</f>
        <v>0</v>
      </c>
      <c r="J35" s="97">
        <f>DATE(S_An,1,1)+5</f>
        <v>46028.0</v>
      </c>
      <c r="K35" s="93">
        <f>SUMIFS(D_CO2,D_Jour,J35)</f>
        <v>0</v>
      </c>
    </row>
    <row r="36">
      <c r="B36" s="89" t="str">
        <f>IF(Calcul!B36="","",Calcul!B36)</f>
        <v>GPT-6 Sol</v>
      </c>
      <c r="C36" s="93">
        <f>IF(B36="",0,SUMIFS(D_CO2,D_Grp,B36,D_An,S_An))</f>
        <v>0</v>
      </c>
      <c r="D36" s="93">
        <f>IF(B36="",0,SUMIFS(D_kWh,D_Grp,B36,D_An,S_An))</f>
        <v>0</v>
      </c>
      <c r="E36" s="90">
        <f>IF(B36="",0,SUMIFS(D_TO,D_Grp,B36,D_An,S_An))</f>
        <v>0</v>
      </c>
      <c r="F36" s="105">
        <f>IF(B36="",0,SUMIFS(D_Brut,D_Grp,B36,D_An,S_An))</f>
        <v>0</v>
      </c>
      <c r="G36" s="107">
        <f>IF(B36="",-1,C36)-ROW()*1E-12</f>
        <v>-3.6e-11</v>
      </c>
      <c r="H36" s="90">
        <f>IF(B36="",0,SUMIFS(D_TO,D_Grp,B36))</f>
        <v>0</v>
      </c>
      <c r="J36" s="97">
        <f>DATE(S_An,1,1)+6</f>
        <v>46029.0</v>
      </c>
      <c r="K36" s="93">
        <f>SUMIFS(D_CO2,D_Jour,J36)</f>
        <v>0</v>
      </c>
    </row>
    <row r="37">
      <c r="B37" s="89" t="str">
        <f>IF(Calcul!B37="","",Calcul!B37)</f>
        <v>GPT-6 Astra</v>
      </c>
      <c r="C37" s="93">
        <f>IF(B37="",0,SUMIFS(D_CO2,D_Grp,B37,D_An,S_An))</f>
        <v>0</v>
      </c>
      <c r="D37" s="93">
        <f>IF(B37="",0,SUMIFS(D_kWh,D_Grp,B37,D_An,S_An))</f>
        <v>0</v>
      </c>
      <c r="E37" s="90">
        <f>IF(B37="",0,SUMIFS(D_TO,D_Grp,B37,D_An,S_An))</f>
        <v>0</v>
      </c>
      <c r="F37" s="105">
        <f>IF(B37="",0,SUMIFS(D_Brut,D_Grp,B37,D_An,S_An))</f>
        <v>0</v>
      </c>
      <c r="G37" s="107">
        <f>IF(B37="",-1,C37)-ROW()*1E-12</f>
        <v>-3.7e-11</v>
      </c>
      <c r="H37" s="90">
        <f>IF(B37="",0,SUMIFS(D_TO,D_Grp,B37))</f>
        <v>0</v>
      </c>
      <c r="J37" s="97">
        <f>DATE(S_An,1,1)+7</f>
        <v>46030.0</v>
      </c>
      <c r="K37" s="93">
        <f>SUMIFS(D_CO2,D_Jour,J37)</f>
        <v>0</v>
      </c>
    </row>
    <row r="38">
      <c r="B38" s="89" t="str">
        <f>IF(Calcul!B38="","",Calcul!B38)</f>
        <v>GPT-6.1 Sol</v>
      </c>
      <c r="C38" s="93">
        <f>IF(B38="",0,SUMIFS(D_CO2,D_Grp,B38,D_An,S_An))</f>
        <v>0</v>
      </c>
      <c r="D38" s="93">
        <f>IF(B38="",0,SUMIFS(D_kWh,D_Grp,B38,D_An,S_An))</f>
        <v>0</v>
      </c>
      <c r="E38" s="90">
        <f>IF(B38="",0,SUMIFS(D_TO,D_Grp,B38,D_An,S_An))</f>
        <v>0</v>
      </c>
      <c r="F38" s="105">
        <f>IF(B38="",0,SUMIFS(D_Brut,D_Grp,B38,D_An,S_An))</f>
        <v>0</v>
      </c>
      <c r="G38" s="107">
        <f>IF(B38="",-1,C38)-ROW()*1E-12</f>
        <v>-3.8e-11</v>
      </c>
      <c r="H38" s="90">
        <f>IF(B38="",0,SUMIFS(D_TO,D_Grp,B38))</f>
        <v>0</v>
      </c>
      <c r="J38" s="97">
        <f>DATE(S_An,1,1)+8</f>
        <v>46031.0</v>
      </c>
      <c r="K38" s="93">
        <f>SUMIFS(D_CO2,D_Jour,J38)</f>
        <v>0</v>
      </c>
    </row>
    <row r="39">
      <c r="B39" s="89" t="str">
        <f>IF(Calcul!B39="","",Calcul!B39)</f>
        <v>GPT-5 mini</v>
      </c>
      <c r="C39" s="93">
        <f>IF(B39="",0,SUMIFS(D_CO2,D_Grp,B39,D_An,S_An))</f>
        <v>0</v>
      </c>
      <c r="D39" s="93">
        <f>IF(B39="",0,SUMIFS(D_kWh,D_Grp,B39,D_An,S_An))</f>
        <v>0</v>
      </c>
      <c r="E39" s="90">
        <f>IF(B39="",0,SUMIFS(D_TO,D_Grp,B39,D_An,S_An))</f>
        <v>0</v>
      </c>
      <c r="F39" s="105">
        <f>IF(B39="",0,SUMIFS(D_Brut,D_Grp,B39,D_An,S_An))</f>
        <v>0</v>
      </c>
      <c r="G39" s="107">
        <f>IF(B39="",-1,C39)-ROW()*1E-12</f>
        <v>-3.9e-11</v>
      </c>
      <c r="H39" s="90">
        <f>IF(B39="",0,SUMIFS(D_TO,D_Grp,B39))</f>
        <v>0</v>
      </c>
      <c r="J39" s="97">
        <f>DATE(S_An,1,1)+9</f>
        <v>46032.0</v>
      </c>
      <c r="K39" s="93">
        <f>SUMIFS(D_CO2,D_Jour,J39)</f>
        <v>0</v>
      </c>
    </row>
    <row r="40">
      <c r="B40" s="89" t="str">
        <f>IF(Calcul!B40="","",Calcul!B40)</f>
        <v>GPT-5.4 mini</v>
      </c>
      <c r="C40" s="93">
        <f>IF(B40="",0,SUMIFS(D_CO2,D_Grp,B40,D_An,S_An))</f>
        <v>0</v>
      </c>
      <c r="D40" s="93">
        <f>IF(B40="",0,SUMIFS(D_kWh,D_Grp,B40,D_An,S_An))</f>
        <v>0</v>
      </c>
      <c r="E40" s="90">
        <f>IF(B40="",0,SUMIFS(D_TO,D_Grp,B40,D_An,S_An))</f>
        <v>0</v>
      </c>
      <c r="F40" s="105">
        <f>IF(B40="",0,SUMIFS(D_Brut,D_Grp,B40,D_An,S_An))</f>
        <v>0</v>
      </c>
      <c r="G40" s="107">
        <f>IF(B40="",-1,C40)-ROW()*1E-12</f>
        <v>-4e-11</v>
      </c>
      <c r="H40" s="90">
        <f>IF(B40="",0,SUMIFS(D_TO,D_Grp,B40))</f>
        <v>0</v>
      </c>
      <c r="J40" s="97">
        <f>DATE(S_An,1,1)+10</f>
        <v>46033.0</v>
      </c>
      <c r="K40" s="93">
        <f>SUMIFS(D_CO2,D_Jour,J40)</f>
        <v>0</v>
      </c>
    </row>
    <row r="41">
      <c r="B41" s="89" t="str">
        <f>IF(Calcul!B41="","",Calcul!B41)</f>
        <v>GPT-5.4</v>
      </c>
      <c r="C41" s="93">
        <f>IF(B41="",0,SUMIFS(D_CO2,D_Grp,B41,D_An,S_An))</f>
        <v>0</v>
      </c>
      <c r="D41" s="93">
        <f>IF(B41="",0,SUMIFS(D_kWh,D_Grp,B41,D_An,S_An))</f>
        <v>0</v>
      </c>
      <c r="E41" s="90">
        <f>IF(B41="",0,SUMIFS(D_TO,D_Grp,B41,D_An,S_An))</f>
        <v>0</v>
      </c>
      <c r="F41" s="105">
        <f>IF(B41="",0,SUMIFS(D_Brut,D_Grp,B41,D_An,S_An))</f>
        <v>0</v>
      </c>
      <c r="G41" s="107">
        <f>IF(B41="",-1,C41)-ROW()*1E-12</f>
        <v>-4.1e-11</v>
      </c>
      <c r="H41" s="90">
        <f>IF(B41="",0,SUMIFS(D_TO,D_Grp,B41))</f>
        <v>0</v>
      </c>
      <c r="J41" s="97">
        <f>DATE(S_An,1,1)+11</f>
        <v>46034.0</v>
      </c>
      <c r="K41" s="93">
        <f>SUMIFS(D_CO2,D_Jour,J41)</f>
        <v>0</v>
      </c>
    </row>
    <row r="42">
      <c r="B42" s="89" t="str">
        <f>IF(Calcul!B42="","",Calcul!B42)</f>
        <v>GPT-5.5</v>
      </c>
      <c r="C42" s="93">
        <f>IF(B42="",0,SUMIFS(D_CO2,D_Grp,B42,D_An,S_An))</f>
        <v>0</v>
      </c>
      <c r="D42" s="93">
        <f>IF(B42="",0,SUMIFS(D_kWh,D_Grp,B42,D_An,S_An))</f>
        <v>0</v>
      </c>
      <c r="E42" s="90">
        <f>IF(B42="",0,SUMIFS(D_TO,D_Grp,B42,D_An,S_An))</f>
        <v>0</v>
      </c>
      <c r="F42" s="105">
        <f>IF(B42="",0,SUMIFS(D_Brut,D_Grp,B42,D_An,S_An))</f>
        <v>0</v>
      </c>
      <c r="G42" s="107">
        <f>IF(B42="",-1,C42)-ROW()*1E-12</f>
        <v>-4.2e-11</v>
      </c>
      <c r="H42" s="90">
        <f>IF(B42="",0,SUMIFS(D_TO,D_Grp,B42))</f>
        <v>0</v>
      </c>
      <c r="J42" s="97">
        <f>DATE(S_An,1,1)+12</f>
        <v>46035.0</v>
      </c>
      <c r="K42" s="93">
        <f>SUMIFS(D_CO2,D_Jour,J42)</f>
        <v>0</v>
      </c>
    </row>
    <row r="43">
      <c r="B43" s="89" t="str">
        <f>IF(Calcul!B43="","",Calcul!B43)</f>
        <v>Claude Haiku 4.5</v>
      </c>
      <c r="C43" s="93">
        <f>IF(B43="",0,SUMIFS(D_CO2,D_Grp,B43,D_An,S_An))</f>
        <v>0</v>
      </c>
      <c r="D43" s="93">
        <f>IF(B43="",0,SUMIFS(D_kWh,D_Grp,B43,D_An,S_An))</f>
        <v>0</v>
      </c>
      <c r="E43" s="90">
        <f>IF(B43="",0,SUMIFS(D_TO,D_Grp,B43,D_An,S_An))</f>
        <v>0</v>
      </c>
      <c r="F43" s="105">
        <f>IF(B43="",0,SUMIFS(D_Brut,D_Grp,B43,D_An,S_An))</f>
        <v>0</v>
      </c>
      <c r="G43" s="107">
        <f>IF(B43="",-1,C43)-ROW()*1E-12</f>
        <v>-4.3e-11</v>
      </c>
      <c r="H43" s="90">
        <f>IF(B43="",0,SUMIFS(D_TO,D_Grp,B43))</f>
        <v>0</v>
      </c>
      <c r="J43" s="97">
        <f>DATE(S_An,1,1)+13</f>
        <v>46036.0</v>
      </c>
      <c r="K43" s="93">
        <f>SUMIFS(D_CO2,D_Jour,J43)</f>
        <v>0</v>
      </c>
    </row>
    <row r="44">
      <c r="B44" s="89" t="str">
        <f>IF(Calcul!B44="","",Calcul!B44)</f>
        <v>Claude Haiku 5.5</v>
      </c>
      <c r="C44" s="93">
        <f>IF(B44="",0,SUMIFS(D_CO2,D_Grp,B44,D_An,S_An))</f>
        <v>0</v>
      </c>
      <c r="D44" s="93">
        <f>IF(B44="",0,SUMIFS(D_kWh,D_Grp,B44,D_An,S_An))</f>
        <v>0</v>
      </c>
      <c r="E44" s="90">
        <f>IF(B44="",0,SUMIFS(D_TO,D_Grp,B44,D_An,S_An))</f>
        <v>0</v>
      </c>
      <c r="F44" s="105">
        <f>IF(B44="",0,SUMIFS(D_Brut,D_Grp,B44,D_An,S_An))</f>
        <v>0</v>
      </c>
      <c r="G44" s="107">
        <f>IF(B44="",-1,C44)-ROW()*1E-12</f>
        <v>-4.4e-11</v>
      </c>
      <c r="H44" s="90">
        <f>IF(B44="",0,SUMIFS(D_TO,D_Grp,B44))</f>
        <v>0</v>
      </c>
      <c r="J44" s="97">
        <f>DATE(S_An,1,1)+14</f>
        <v>46037.0</v>
      </c>
      <c r="K44" s="93">
        <f>SUMIFS(D_CO2,D_Jour,J44)</f>
        <v>0</v>
      </c>
    </row>
    <row r="45">
      <c r="B45" s="89" t="str">
        <f>IF(Calcul!B45="","",Calcul!B45)</f>
        <v>Claude Sonnet 4</v>
      </c>
      <c r="C45" s="93">
        <f>IF(B45="",0,SUMIFS(D_CO2,D_Grp,B45,D_An,S_An))</f>
        <v>0</v>
      </c>
      <c r="D45" s="93">
        <f>IF(B45="",0,SUMIFS(D_kWh,D_Grp,B45,D_An,S_An))</f>
        <v>0</v>
      </c>
      <c r="E45" s="90">
        <f>IF(B45="",0,SUMIFS(D_TO,D_Grp,B45,D_An,S_An))</f>
        <v>0</v>
      </c>
      <c r="F45" s="105">
        <f>IF(B45="",0,SUMIFS(D_Brut,D_Grp,B45,D_An,S_An))</f>
        <v>0</v>
      </c>
      <c r="G45" s="107">
        <f>IF(B45="",-1,C45)-ROW()*1E-12</f>
        <v>-4.5e-11</v>
      </c>
      <c r="H45" s="90">
        <f>IF(B45="",0,SUMIFS(D_TO,D_Grp,B45))</f>
        <v>0</v>
      </c>
      <c r="J45" s="97">
        <f>DATE(S_An,1,1)+15</f>
        <v>46038.0</v>
      </c>
      <c r="K45" s="93">
        <f>SUMIFS(D_CO2,D_Jour,J45)</f>
        <v>0</v>
      </c>
    </row>
    <row r="46">
      <c r="B46" s="89" t="str">
        <f>IF(Calcul!B46="","",Calcul!B46)</f>
        <v>Claude Sonnet 4.6</v>
      </c>
      <c r="C46" s="93">
        <f>IF(B46="",0,SUMIFS(D_CO2,D_Grp,B46,D_An,S_An))</f>
        <v>0</v>
      </c>
      <c r="D46" s="93">
        <f>IF(B46="",0,SUMIFS(D_kWh,D_Grp,B46,D_An,S_An))</f>
        <v>0</v>
      </c>
      <c r="E46" s="90">
        <f>IF(B46="",0,SUMIFS(D_TO,D_Grp,B46,D_An,S_An))</f>
        <v>0</v>
      </c>
      <c r="F46" s="105">
        <f>IF(B46="",0,SUMIFS(D_Brut,D_Grp,B46,D_An,S_An))</f>
        <v>0</v>
      </c>
      <c r="G46" s="107">
        <f>IF(B46="",-1,C46)-ROW()*1E-12</f>
        <v>-4.6e-11</v>
      </c>
      <c r="H46" s="90">
        <f>IF(B46="",0,SUMIFS(D_TO,D_Grp,B46))</f>
        <v>0</v>
      </c>
      <c r="J46" s="97">
        <f>DATE(S_An,1,1)+16</f>
        <v>46039.0</v>
      </c>
      <c r="K46" s="93">
        <f>SUMIFS(D_CO2,D_Jour,J46)</f>
        <v>0</v>
      </c>
    </row>
    <row r="47">
      <c r="B47" s="89" t="str">
        <f>IF(Calcul!B47="","",Calcul!B47)</f>
        <v>Claude Sonnet 5</v>
      </c>
      <c r="C47" s="93">
        <f>IF(B47="",0,SUMIFS(D_CO2,D_Grp,B47,D_An,S_An))</f>
        <v>0</v>
      </c>
      <c r="D47" s="93">
        <f>IF(B47="",0,SUMIFS(D_kWh,D_Grp,B47,D_An,S_An))</f>
        <v>0</v>
      </c>
      <c r="E47" s="90">
        <f>IF(B47="",0,SUMIFS(D_TO,D_Grp,B47,D_An,S_An))</f>
        <v>0</v>
      </c>
      <c r="F47" s="105">
        <f>IF(B47="",0,SUMIFS(D_Brut,D_Grp,B47,D_An,S_An))</f>
        <v>0</v>
      </c>
      <c r="G47" s="107">
        <f>IF(B47="",-1,C47)-ROW()*1E-12</f>
        <v>-4.7e-11</v>
      </c>
      <c r="H47" s="90">
        <f>IF(B47="",0,SUMIFS(D_TO,D_Grp,B47))</f>
        <v>0</v>
      </c>
      <c r="J47" s="97">
        <f>DATE(S_An,1,1)+17</f>
        <v>46040.0</v>
      </c>
      <c r="K47" s="93">
        <f>SUMIFS(D_CO2,D_Jour,J47)</f>
        <v>0</v>
      </c>
    </row>
    <row r="48">
      <c r="B48" s="89" t="str">
        <f>IF(Calcul!B48="","",Calcul!B48)</f>
        <v>Claude Sonnet 5.5</v>
      </c>
      <c r="C48" s="93">
        <f>IF(B48="",0,SUMIFS(D_CO2,D_Grp,B48,D_An,S_An))</f>
        <v>0</v>
      </c>
      <c r="D48" s="93">
        <f>IF(B48="",0,SUMIFS(D_kWh,D_Grp,B48,D_An,S_An))</f>
        <v>0</v>
      </c>
      <c r="E48" s="90">
        <f>IF(B48="",0,SUMIFS(D_TO,D_Grp,B48,D_An,S_An))</f>
        <v>0</v>
      </c>
      <c r="F48" s="105">
        <f>IF(B48="",0,SUMIFS(D_Brut,D_Grp,B48,D_An,S_An))</f>
        <v>0</v>
      </c>
      <c r="G48" s="107">
        <f>IF(B48="",-1,C48)-ROW()*1E-12</f>
        <v>-4.8e-11</v>
      </c>
      <c r="H48" s="90">
        <f>IF(B48="",0,SUMIFS(D_TO,D_Grp,B48))</f>
        <v>0</v>
      </c>
      <c r="J48" s="97">
        <f>DATE(S_An,1,1)+18</f>
        <v>46041.0</v>
      </c>
      <c r="K48" s="93">
        <f>SUMIFS(D_CO2,D_Jour,J48)</f>
        <v>0</v>
      </c>
    </row>
    <row r="49">
      <c r="B49" s="89" t="str">
        <f>IF(Calcul!B49="","",Calcul!B49)</f>
        <v>Claude Sonnet 5.5 [ancien tarif]</v>
      </c>
      <c r="C49" s="93">
        <f>IF(B49="",0,SUMIFS(D_CO2,D_Grp,B49,D_An,S_An))</f>
        <v>0</v>
      </c>
      <c r="D49" s="93">
        <f>IF(B49="",0,SUMIFS(D_kWh,D_Grp,B49,D_An,S_An))</f>
        <v>0</v>
      </c>
      <c r="E49" s="90">
        <f>IF(B49="",0,SUMIFS(D_TO,D_Grp,B49,D_An,S_An))</f>
        <v>0</v>
      </c>
      <c r="F49" s="105">
        <f>IF(B49="",0,SUMIFS(D_Brut,D_Grp,B49,D_An,S_An))</f>
        <v>0</v>
      </c>
      <c r="G49" s="107">
        <f>IF(B49="",-1,C49)-ROW()*1E-12</f>
        <v>-4.9e-11</v>
      </c>
      <c r="H49" s="90">
        <f>IF(B49="",0,SUMIFS(D_TO,D_Grp,B49))</f>
        <v>0</v>
      </c>
      <c r="J49" s="97">
        <f>DATE(S_An,1,1)+19</f>
        <v>46042.0</v>
      </c>
      <c r="K49" s="93">
        <f>SUMIFS(D_CO2,D_Jour,J49)</f>
        <v>0</v>
      </c>
    </row>
    <row r="50">
      <c r="B50" s="89" t="str">
        <f>IF(Calcul!B50="","",Calcul!B50)</f>
        <v>Claude Opus 4.8</v>
      </c>
      <c r="C50" s="93">
        <f>IF(B50="",0,SUMIFS(D_CO2,D_Grp,B50,D_An,S_An))</f>
        <v>0</v>
      </c>
      <c r="D50" s="93">
        <f>IF(B50="",0,SUMIFS(D_kWh,D_Grp,B50,D_An,S_An))</f>
        <v>0</v>
      </c>
      <c r="E50" s="90">
        <f>IF(B50="",0,SUMIFS(D_TO,D_Grp,B50,D_An,S_An))</f>
        <v>0</v>
      </c>
      <c r="F50" s="105">
        <f>IF(B50="",0,SUMIFS(D_Brut,D_Grp,B50,D_An,S_An))</f>
        <v>0</v>
      </c>
      <c r="G50" s="107">
        <f>IF(B50="",-1,C50)-ROW()*1E-12</f>
        <v>-5e-11</v>
      </c>
      <c r="H50" s="90">
        <f>IF(B50="",0,SUMIFS(D_TO,D_Grp,B50))</f>
        <v>0</v>
      </c>
      <c r="J50" s="97">
        <f>DATE(S_An,1,1)+20</f>
        <v>46043.0</v>
      </c>
      <c r="K50" s="93">
        <f>SUMIFS(D_CO2,D_Jour,J50)</f>
        <v>0</v>
      </c>
    </row>
    <row r="51">
      <c r="B51" s="89" t="str">
        <f>IF(Calcul!B51="","",Calcul!B51)</f>
        <v>Claude Opus 4.8 (fast mode)</v>
      </c>
      <c r="C51" s="93">
        <f>IF(B51="",0,SUMIFS(D_CO2,D_Grp,B51,D_An,S_An))</f>
        <v>0</v>
      </c>
      <c r="D51" s="93">
        <f>IF(B51="",0,SUMIFS(D_kWh,D_Grp,B51,D_An,S_An))</f>
        <v>0</v>
      </c>
      <c r="E51" s="90">
        <f>IF(B51="",0,SUMIFS(D_TO,D_Grp,B51,D_An,S_An))</f>
        <v>0</v>
      </c>
      <c r="F51" s="105">
        <f>IF(B51="",0,SUMIFS(D_Brut,D_Grp,B51,D_An,S_An))</f>
        <v>0</v>
      </c>
      <c r="G51" s="107">
        <f>IF(B51="",-1,C51)-ROW()*1E-12</f>
        <v>-5.1e-11</v>
      </c>
      <c r="H51" s="90">
        <f>IF(B51="",0,SUMIFS(D_TO,D_Grp,B51))</f>
        <v>0</v>
      </c>
      <c r="J51" s="97">
        <f>DATE(S_An,1,1)+21</f>
        <v>46044.0</v>
      </c>
      <c r="K51" s="93">
        <f>SUMIFS(D_CO2,D_Jour,J51)</f>
        <v>0</v>
      </c>
    </row>
    <row r="52">
      <c r="B52" s="89" t="str">
        <f>IF(Calcul!B52="","",Calcul!B52)</f>
        <v>Claude Opus 5</v>
      </c>
      <c r="C52" s="93">
        <f>IF(B52="",0,SUMIFS(D_CO2,D_Grp,B52,D_An,S_An))</f>
        <v>0</v>
      </c>
      <c r="D52" s="93">
        <f>IF(B52="",0,SUMIFS(D_kWh,D_Grp,B52,D_An,S_An))</f>
        <v>0</v>
      </c>
      <c r="E52" s="90">
        <f>IF(B52="",0,SUMIFS(D_TO,D_Grp,B52,D_An,S_An))</f>
        <v>0</v>
      </c>
      <c r="F52" s="105">
        <f>IF(B52="",0,SUMIFS(D_Brut,D_Grp,B52,D_An,S_An))</f>
        <v>0</v>
      </c>
      <c r="G52" s="107">
        <f>IF(B52="",-1,C52)-ROW()*1E-12</f>
        <v>-5.2e-11</v>
      </c>
      <c r="H52" s="90">
        <f>IF(B52="",0,SUMIFS(D_TO,D_Grp,B52))</f>
        <v>0</v>
      </c>
      <c r="J52" s="97">
        <f>DATE(S_An,1,1)+22</f>
        <v>46045.0</v>
      </c>
      <c r="K52" s="93">
        <f>SUMIFS(D_CO2,D_Jour,J52)</f>
        <v>0</v>
      </c>
    </row>
    <row r="53">
      <c r="B53" s="89" t="str">
        <f>IF(Calcul!B53="","",Calcul!B53)</f>
        <v>Claude Opus 5.5</v>
      </c>
      <c r="C53" s="93">
        <f>IF(B53="",0,SUMIFS(D_CO2,D_Grp,B53,D_An,S_An))</f>
        <v>0</v>
      </c>
      <c r="D53" s="93">
        <f>IF(B53="",0,SUMIFS(D_kWh,D_Grp,B53,D_An,S_An))</f>
        <v>0</v>
      </c>
      <c r="E53" s="90">
        <f>IF(B53="",0,SUMIFS(D_TO,D_Grp,B53,D_An,S_An))</f>
        <v>0</v>
      </c>
      <c r="F53" s="105">
        <f>IF(B53="",0,SUMIFS(D_Brut,D_Grp,B53,D_An,S_An))</f>
        <v>0</v>
      </c>
      <c r="G53" s="107">
        <f>IF(B53="",-1,C53)-ROW()*1E-12</f>
        <v>-5.3e-11</v>
      </c>
      <c r="H53" s="90">
        <f>IF(B53="",0,SUMIFS(D_TO,D_Grp,B53))</f>
        <v>0</v>
      </c>
      <c r="J53" s="97">
        <f>DATE(S_An,1,1)+23</f>
        <v>46046.0</v>
      </c>
      <c r="K53" s="93">
        <f>SUMIFS(D_CO2,D_Jour,J53)</f>
        <v>0</v>
      </c>
    </row>
    <row r="54">
      <c r="B54" s="89" t="str">
        <f>IF(Calcul!B54="","",Calcul!B54)</f>
        <v>Claude Fable 5</v>
      </c>
      <c r="C54" s="93">
        <f>IF(B54="",0,SUMIFS(D_CO2,D_Grp,B54,D_An,S_An))</f>
        <v>0</v>
      </c>
      <c r="D54" s="93">
        <f>IF(B54="",0,SUMIFS(D_kWh,D_Grp,B54,D_An,S_An))</f>
        <v>0</v>
      </c>
      <c r="E54" s="90">
        <f>IF(B54="",0,SUMIFS(D_TO,D_Grp,B54,D_An,S_An))</f>
        <v>0</v>
      </c>
      <c r="F54" s="105">
        <f>IF(B54="",0,SUMIFS(D_Brut,D_Grp,B54,D_An,S_An))</f>
        <v>0</v>
      </c>
      <c r="G54" s="107">
        <f>IF(B54="",-1,C54)-ROW()*1E-12</f>
        <v>-5.4e-11</v>
      </c>
      <c r="H54" s="90">
        <f>IF(B54="",0,SUMIFS(D_TO,D_Grp,B54))</f>
        <v>0</v>
      </c>
      <c r="J54" s="97">
        <f>DATE(S_An,1,1)+24</f>
        <v>46047.0</v>
      </c>
      <c r="K54" s="93">
        <f>SUMIFS(D_CO2,D_Jour,J54)</f>
        <v>0</v>
      </c>
    </row>
    <row r="55">
      <c r="B55" s="89" t="str">
        <f>IF(Calcul!B55="","",Calcul!B55)</f>
        <v>Claude Fable 5.1</v>
      </c>
      <c r="C55" s="93">
        <f>IF(B55="",0,SUMIFS(D_CO2,D_Grp,B55,D_An,S_An))</f>
        <v>0</v>
      </c>
      <c r="D55" s="93">
        <f>IF(B55="",0,SUMIFS(D_kWh,D_Grp,B55,D_An,S_An))</f>
        <v>0</v>
      </c>
      <c r="E55" s="90">
        <f>IF(B55="",0,SUMIFS(D_TO,D_Grp,B55,D_An,S_An))</f>
        <v>0</v>
      </c>
      <c r="F55" s="105">
        <f>IF(B55="",0,SUMIFS(D_Brut,D_Grp,B55,D_An,S_An))</f>
        <v>0</v>
      </c>
      <c r="G55" s="107">
        <f>IF(B55="",-1,C55)-ROW()*1E-12</f>
        <v>-5.5e-11</v>
      </c>
      <c r="H55" s="90">
        <f>IF(B55="",0,SUMIFS(D_TO,D_Grp,B55))</f>
        <v>0</v>
      </c>
      <c r="J55" s="97">
        <f>DATE(S_An,1,1)+25</f>
        <v>46048.0</v>
      </c>
      <c r="K55" s="93">
        <f>SUMIFS(D_CO2,D_Jour,J55)</f>
        <v>0</v>
      </c>
    </row>
    <row r="56">
      <c r="B56" s="89" t="str">
        <f>IF(Calcul!B56="","",Calcul!B56)</f>
        <v>Gemini 3.8 Flash</v>
      </c>
      <c r="C56" s="93">
        <f>IF(B56="",0,SUMIFS(D_CO2,D_Grp,B56,D_An,S_An))</f>
        <v>0</v>
      </c>
      <c r="D56" s="93">
        <f>IF(B56="",0,SUMIFS(D_kWh,D_Grp,B56,D_An,S_An))</f>
        <v>0</v>
      </c>
      <c r="E56" s="90">
        <f>IF(B56="",0,SUMIFS(D_TO,D_Grp,B56,D_An,S_An))</f>
        <v>0</v>
      </c>
      <c r="F56" s="105">
        <f>IF(B56="",0,SUMIFS(D_Brut,D_Grp,B56,D_An,S_An))</f>
        <v>0</v>
      </c>
      <c r="G56" s="107">
        <f>IF(B56="",-1,C56)-ROW()*1E-12</f>
        <v>-5.6e-11</v>
      </c>
      <c r="H56" s="90">
        <f>IF(B56="",0,SUMIFS(D_TO,D_Grp,B56))</f>
        <v>0</v>
      </c>
      <c r="J56" s="97">
        <f>DATE(S_An,1,1)+26</f>
        <v>46049.0</v>
      </c>
      <c r="K56" s="93">
        <f>SUMIFS(D_CO2,D_Jour,J56)</f>
        <v>0</v>
      </c>
    </row>
    <row r="57">
      <c r="B57" s="89" t="str">
        <f>IF(Calcul!B57="","",Calcul!B57)</f>
        <v>Gemini 4 Argon</v>
      </c>
      <c r="C57" s="93">
        <f>IF(B57="",0,SUMIFS(D_CO2,D_Grp,B57,D_An,S_An))</f>
        <v>0</v>
      </c>
      <c r="D57" s="93">
        <f>IF(B57="",0,SUMIFS(D_kWh,D_Grp,B57,D_An,S_An))</f>
        <v>0</v>
      </c>
      <c r="E57" s="90">
        <f>IF(B57="",0,SUMIFS(D_TO,D_Grp,B57,D_An,S_An))</f>
        <v>0</v>
      </c>
      <c r="F57" s="105">
        <f>IF(B57="",0,SUMIFS(D_Brut,D_Grp,B57,D_An,S_An))</f>
        <v>0</v>
      </c>
      <c r="G57" s="107">
        <f>IF(B57="",-1,C57)-ROW()*1E-12</f>
        <v>-5.7e-11</v>
      </c>
      <c r="H57" s="90">
        <f>IF(B57="",0,SUMIFS(D_TO,D_Grp,B57))</f>
        <v>0</v>
      </c>
      <c r="J57" s="97">
        <f>DATE(S_An,1,1)+27</f>
        <v>46050.0</v>
      </c>
      <c r="K57" s="93">
        <f>SUMIFS(D_CO2,D_Jour,J57)</f>
        <v>0</v>
      </c>
    </row>
    <row r="58">
      <c r="B58" s="89" t="str">
        <f>IF(Calcul!B58="","",Calcul!B58)</f>
        <v>Gemini 3.7 Flash</v>
      </c>
      <c r="C58" s="93">
        <f>IF(B58="",0,SUMIFS(D_CO2,D_Grp,B58,D_An,S_An))</f>
        <v>0</v>
      </c>
      <c r="D58" s="93">
        <f>IF(B58="",0,SUMIFS(D_kWh,D_Grp,B58,D_An,S_An))</f>
        <v>0</v>
      </c>
      <c r="E58" s="90">
        <f>IF(B58="",0,SUMIFS(D_TO,D_Grp,B58,D_An,S_An))</f>
        <v>0</v>
      </c>
      <c r="F58" s="105">
        <f>IF(B58="",0,SUMIFS(D_Brut,D_Grp,B58,D_An,S_An))</f>
        <v>0</v>
      </c>
      <c r="G58" s="107">
        <f>IF(B58="",-1,C58)-ROW()*1E-12</f>
        <v>-5.8e-11</v>
      </c>
      <c r="H58" s="90">
        <f>IF(B58="",0,SUMIFS(D_TO,D_Grp,B58))</f>
        <v>0</v>
      </c>
      <c r="J58" s="97">
        <f>DATE(S_An,1,1)+28</f>
        <v>46051.0</v>
      </c>
      <c r="K58" s="93">
        <f>SUMIFS(D_CO2,D_Jour,J58)</f>
        <v>0</v>
      </c>
    </row>
    <row r="59">
      <c r="B59" s="89" t="str">
        <f>IF(Calcul!B59="","",Calcul!B59)</f>
        <v>Gemini 3.5 Flash</v>
      </c>
      <c r="C59" s="93">
        <f>IF(B59="",0,SUMIFS(D_CO2,D_Grp,B59,D_An,S_An))</f>
        <v>0</v>
      </c>
      <c r="D59" s="93">
        <f>IF(B59="",0,SUMIFS(D_kWh,D_Grp,B59,D_An,S_An))</f>
        <v>0</v>
      </c>
      <c r="E59" s="90">
        <f>IF(B59="",0,SUMIFS(D_TO,D_Grp,B59,D_An,S_An))</f>
        <v>0</v>
      </c>
      <c r="F59" s="105">
        <f>IF(B59="",0,SUMIFS(D_Brut,D_Grp,B59,D_An,S_An))</f>
        <v>0</v>
      </c>
      <c r="G59" s="107">
        <f>IF(B59="",-1,C59)-ROW()*1E-12</f>
        <v>-5.9e-11</v>
      </c>
      <c r="H59" s="90">
        <f>IF(B59="",0,SUMIFS(D_TO,D_Grp,B59))</f>
        <v>0</v>
      </c>
      <c r="J59" s="97">
        <f>DATE(S_An,1,1)+29</f>
        <v>46052.0</v>
      </c>
      <c r="K59" s="93">
        <f>SUMIFS(D_CO2,D_Jour,J59)</f>
        <v>0</v>
      </c>
    </row>
    <row r="60">
      <c r="B60" s="89" t="str">
        <f>IF(Calcul!B60="","",Calcul!B60)</f>
        <v>MAI-Code-1.1-Flash</v>
      </c>
      <c r="C60" s="93">
        <f>IF(B60="",0,SUMIFS(D_CO2,D_Grp,B60,D_An,S_An))</f>
        <v>0</v>
      </c>
      <c r="D60" s="93">
        <f>IF(B60="",0,SUMIFS(D_kWh,D_Grp,B60,D_An,S_An))</f>
        <v>0</v>
      </c>
      <c r="E60" s="90">
        <f>IF(B60="",0,SUMIFS(D_TO,D_Grp,B60,D_An,S_An))</f>
        <v>0</v>
      </c>
      <c r="F60" s="105">
        <f>IF(B60="",0,SUMIFS(D_Brut,D_Grp,B60,D_An,S_An))</f>
        <v>0</v>
      </c>
      <c r="G60" s="107">
        <f>IF(B60="",-1,C60)-ROW()*1E-12</f>
        <v>-6e-11</v>
      </c>
      <c r="H60" s="90">
        <f>IF(B60="",0,SUMIFS(D_TO,D_Grp,B60))</f>
        <v>0</v>
      </c>
      <c r="J60" s="97">
        <f>DATE(S_An,1,1)+30</f>
        <v>46053.0</v>
      </c>
      <c r="K60" s="93">
        <f>SUMIFS(D_CO2,D_Jour,J60)</f>
        <v>0</v>
      </c>
    </row>
    <row r="61">
      <c r="B61" s="89" t="str">
        <f>IF(Calcul!B61="","",Calcul!B61)</f>
        <v>Grok 4.5</v>
      </c>
      <c r="C61" s="93">
        <f>IF(B61="",0,SUMIFS(D_CO2,D_Grp,B61,D_An,S_An))</f>
        <v>0</v>
      </c>
      <c r="D61" s="93">
        <f>IF(B61="",0,SUMIFS(D_kWh,D_Grp,B61,D_An,S_An))</f>
        <v>0</v>
      </c>
      <c r="E61" s="90">
        <f>IF(B61="",0,SUMIFS(D_TO,D_Grp,B61,D_An,S_An))</f>
        <v>0</v>
      </c>
      <c r="F61" s="105">
        <f>IF(B61="",0,SUMIFS(D_Brut,D_Grp,B61,D_An,S_An))</f>
        <v>0</v>
      </c>
      <c r="G61" s="107">
        <f>IF(B61="",-1,C61)-ROW()*1E-12</f>
        <v>-6.1e-11</v>
      </c>
      <c r="H61" s="90">
        <f>IF(B61="",0,SUMIFS(D_TO,D_Grp,B61))</f>
        <v>0</v>
      </c>
      <c r="J61" s="97">
        <f>DATE(S_An,1,1)+31</f>
        <v>46054.0</v>
      </c>
      <c r="K61" s="93">
        <f>SUMIFS(D_CO2,D_Jour,J61)</f>
        <v>0</v>
      </c>
    </row>
    <row r="62">
      <c r="B62" s="89" t="str">
        <f>IF(Calcul!B62="","",Calcul!B62)</f>
        <v>Grok 4.6</v>
      </c>
      <c r="C62" s="93">
        <f>IF(B62="",0,SUMIFS(D_CO2,D_Grp,B62,D_An,S_An))</f>
        <v>0</v>
      </c>
      <c r="D62" s="93">
        <f>IF(B62="",0,SUMIFS(D_kWh,D_Grp,B62,D_An,S_An))</f>
        <v>0</v>
      </c>
      <c r="E62" s="90">
        <f>IF(B62="",0,SUMIFS(D_TO,D_Grp,B62,D_An,S_An))</f>
        <v>0</v>
      </c>
      <c r="F62" s="105">
        <f>IF(B62="",0,SUMIFS(D_Brut,D_Grp,B62,D_An,S_An))</f>
        <v>0</v>
      </c>
      <c r="G62" s="107">
        <f>IF(B62="",-1,C62)-ROW()*1E-12</f>
        <v>-6.2e-11</v>
      </c>
      <c r="H62" s="90">
        <f>IF(B62="",0,SUMIFS(D_TO,D_Grp,B62))</f>
        <v>0</v>
      </c>
      <c r="J62" s="97">
        <f>DATE(S_An,1,1)+32</f>
        <v>46055.0</v>
      </c>
      <c r="K62" s="93">
        <f>SUMIFS(D_CO2,D_Jour,J62)</f>
        <v>0</v>
      </c>
    </row>
    <row r="63">
      <c r="B63" s="89" t="str">
        <f>IF(Calcul!B63="","",Calcul!B63)</f>
        <v>Grok 4.7</v>
      </c>
      <c r="C63" s="93">
        <f>IF(B63="",0,SUMIFS(D_CO2,D_Grp,B63,D_An,S_An))</f>
        <v>0</v>
      </c>
      <c r="D63" s="93">
        <f>IF(B63="",0,SUMIFS(D_kWh,D_Grp,B63,D_An,S_An))</f>
        <v>0</v>
      </c>
      <c r="E63" s="90">
        <f>IF(B63="",0,SUMIFS(D_TO,D_Grp,B63,D_An,S_An))</f>
        <v>0</v>
      </c>
      <c r="F63" s="105">
        <f>IF(B63="",0,SUMIFS(D_Brut,D_Grp,B63,D_An,S_An))</f>
        <v>0</v>
      </c>
      <c r="G63" s="107">
        <f>IF(B63="",-1,C63)-ROW()*1E-12</f>
        <v>-6.3e-11</v>
      </c>
      <c r="H63" s="90">
        <f>IF(B63="",0,SUMIFS(D_TO,D_Grp,B63))</f>
        <v>0</v>
      </c>
      <c r="J63" s="97">
        <f>DATE(S_An,1,1)+33</f>
        <v>46056.0</v>
      </c>
      <c r="K63" s="93">
        <f>SUMIFS(D_CO2,D_Jour,J63)</f>
        <v>0</v>
      </c>
    </row>
    <row r="64">
      <c r="B64" s="89" t="str">
        <f>IF(Calcul!B64="","",Calcul!B64)</f>
        <v>Kimi K3</v>
      </c>
      <c r="C64" s="93">
        <f>IF(B64="",0,SUMIFS(D_CO2,D_Grp,B64,D_An,S_An))</f>
        <v>0</v>
      </c>
      <c r="D64" s="93">
        <f>IF(B64="",0,SUMIFS(D_kWh,D_Grp,B64,D_An,S_An))</f>
        <v>0</v>
      </c>
      <c r="E64" s="90">
        <f>IF(B64="",0,SUMIFS(D_TO,D_Grp,B64,D_An,S_An))</f>
        <v>0</v>
      </c>
      <c r="F64" s="105">
        <f>IF(B64="",0,SUMIFS(D_Brut,D_Grp,B64,D_An,S_An))</f>
        <v>0</v>
      </c>
      <c r="G64" s="107">
        <f>IF(B64="",-1,C64)-ROW()*1E-12</f>
        <v>-6.4e-11</v>
      </c>
      <c r="H64" s="90">
        <f>IF(B64="",0,SUMIFS(D_TO,D_Grp,B64))</f>
        <v>0</v>
      </c>
      <c r="J64" s="97">
        <f>DATE(S_An,1,1)+34</f>
        <v>46057.0</v>
      </c>
      <c r="K64" s="93">
        <f>SUMIFS(D_CO2,D_Jour,J64)</f>
        <v>0</v>
      </c>
    </row>
    <row r="65">
      <c r="B65" s="89" t="str">
        <f>IF(Calcul!B65="","",Calcul!B65)</f>
        <v>Claude Opus 4.5</v>
      </c>
      <c r="C65" s="93">
        <f>IF(B65="",0,SUMIFS(D_CO2,D_Grp,B65,D_An,S_An))</f>
        <v>0</v>
      </c>
      <c r="D65" s="93">
        <f>IF(B65="",0,SUMIFS(D_kWh,D_Grp,B65,D_An,S_An))</f>
        <v>0</v>
      </c>
      <c r="E65" s="90">
        <f>IF(B65="",0,SUMIFS(D_TO,D_Grp,B65,D_An,S_An))</f>
        <v>0</v>
      </c>
      <c r="F65" s="105">
        <f>IF(B65="",0,SUMIFS(D_Brut,D_Grp,B65,D_An,S_An))</f>
        <v>0</v>
      </c>
      <c r="G65" s="107">
        <f>IF(B65="",-1,C65)-ROW()*1E-12</f>
        <v>-6.5e-11</v>
      </c>
      <c r="H65" s="90">
        <f>IF(B65="",0,SUMIFS(D_TO,D_Grp,B65))</f>
        <v>0</v>
      </c>
      <c r="J65" s="97">
        <f>DATE(S_An,1,1)+35</f>
        <v>46058.0</v>
      </c>
      <c r="K65" s="93">
        <f>SUMIFS(D_CO2,D_Jour,J65)</f>
        <v>0</v>
      </c>
    </row>
    <row r="66">
      <c r="B66" s="89" t="str">
        <f>IF(Calcul!B66="","",Calcul!B66)</f>
        <v>Claude Opus 4.6</v>
      </c>
      <c r="C66" s="93">
        <f>IF(B66="",0,SUMIFS(D_CO2,D_Grp,B66,D_An,S_An))</f>
        <v>0</v>
      </c>
      <c r="D66" s="93">
        <f>IF(B66="",0,SUMIFS(D_kWh,D_Grp,B66,D_An,S_An))</f>
        <v>0</v>
      </c>
      <c r="E66" s="90">
        <f>IF(B66="",0,SUMIFS(D_TO,D_Grp,B66,D_An,S_An))</f>
        <v>0</v>
      </c>
      <c r="F66" s="105">
        <f>IF(B66="",0,SUMIFS(D_Brut,D_Grp,B66,D_An,S_An))</f>
        <v>0</v>
      </c>
      <c r="G66" s="107">
        <f>IF(B66="",-1,C66)-ROW()*1E-12</f>
        <v>-6.6e-11</v>
      </c>
      <c r="H66" s="90">
        <f>IF(B66="",0,SUMIFS(D_TO,D_Grp,B66))</f>
        <v>0</v>
      </c>
      <c r="J66" s="97">
        <f>DATE(S_An,1,1)+36</f>
        <v>46059.0</v>
      </c>
      <c r="K66" s="93">
        <f>SUMIFS(D_CO2,D_Jour,J66)</f>
        <v>0</v>
      </c>
    </row>
    <row r="67">
      <c r="B67" s="89" t="str">
        <f>IF(Calcul!B67="","",Calcul!B67)</f>
        <v>Claude Opus 4.7</v>
      </c>
      <c r="C67" s="93">
        <f>IF(B67="",0,SUMIFS(D_CO2,D_Grp,B67,D_An,S_An))</f>
        <v>0</v>
      </c>
      <c r="D67" s="93">
        <f>IF(B67="",0,SUMIFS(D_kWh,D_Grp,B67,D_An,S_An))</f>
        <v>0</v>
      </c>
      <c r="E67" s="90">
        <f>IF(B67="",0,SUMIFS(D_TO,D_Grp,B67,D_An,S_An))</f>
        <v>0</v>
      </c>
      <c r="F67" s="105">
        <f>IF(B67="",0,SUMIFS(D_Brut,D_Grp,B67,D_An,S_An))</f>
        <v>0</v>
      </c>
      <c r="G67" s="107">
        <f>IF(B67="",-1,C67)-ROW()*1E-12</f>
        <v>-6.7e-11</v>
      </c>
      <c r="H67" s="90">
        <f>IF(B67="",0,SUMIFS(D_TO,D_Grp,B67))</f>
        <v>0</v>
      </c>
      <c r="J67" s="97">
        <f>DATE(S_An,1,1)+37</f>
        <v>46060.0</v>
      </c>
      <c r="K67" s="93">
        <f>SUMIFS(D_CO2,D_Jour,J67)</f>
        <v>0</v>
      </c>
    </row>
    <row r="68">
      <c r="B68" s="89" t="str">
        <f>IF(Calcul!B68="","",Calcul!B68)</f>
        <v>Claude Sonnet 4.5</v>
      </c>
      <c r="C68" s="93">
        <f>IF(B68="",0,SUMIFS(D_CO2,D_Grp,B68,D_An,S_An))</f>
        <v>0</v>
      </c>
      <c r="D68" s="93">
        <f>IF(B68="",0,SUMIFS(D_kWh,D_Grp,B68,D_An,S_An))</f>
        <v>0</v>
      </c>
      <c r="E68" s="90">
        <f>IF(B68="",0,SUMIFS(D_TO,D_Grp,B68,D_An,S_An))</f>
        <v>0</v>
      </c>
      <c r="F68" s="105">
        <f>IF(B68="",0,SUMIFS(D_Brut,D_Grp,B68,D_An,S_An))</f>
        <v>0</v>
      </c>
      <c r="G68" s="107">
        <f>IF(B68="",-1,C68)-ROW()*1E-12</f>
        <v>-6.8e-11</v>
      </c>
      <c r="H68" s="90">
        <f>IF(B68="",0,SUMIFS(D_TO,D_Grp,B68))</f>
        <v>0</v>
      </c>
      <c r="J68" s="97">
        <f>DATE(S_An,1,1)+38</f>
        <v>46061.0</v>
      </c>
      <c r="K68" s="93">
        <f>SUMIFS(D_CO2,D_Jour,J68)</f>
        <v>0</v>
      </c>
    </row>
    <row r="69">
      <c r="B69" s="89" t="str">
        <f>IF(Calcul!B69="","",Calcul!B69)</f>
        <v>Gemini 2.5 Flash</v>
      </c>
      <c r="C69" s="93">
        <f>IF(B69="",0,SUMIFS(D_CO2,D_Grp,B69,D_An,S_An))</f>
        <v>0</v>
      </c>
      <c r="D69" s="93">
        <f>IF(B69="",0,SUMIFS(D_kWh,D_Grp,B69,D_An,S_An))</f>
        <v>0</v>
      </c>
      <c r="E69" s="90">
        <f>IF(B69="",0,SUMIFS(D_TO,D_Grp,B69,D_An,S_An))</f>
        <v>0</v>
      </c>
      <c r="F69" s="105">
        <f>IF(B69="",0,SUMIFS(D_Brut,D_Grp,B69,D_An,S_An))</f>
        <v>0</v>
      </c>
      <c r="G69" s="107">
        <f>IF(B69="",-1,C69)-ROW()*1E-12</f>
        <v>-6.9e-11</v>
      </c>
      <c r="H69" s="90">
        <f>IF(B69="",0,SUMIFS(D_TO,D_Grp,B69))</f>
        <v>0</v>
      </c>
      <c r="J69" s="97">
        <f>DATE(S_An,1,1)+39</f>
        <v>46062.0</v>
      </c>
      <c r="K69" s="93">
        <f>SUMIFS(D_CO2,D_Jour,J69)</f>
        <v>0</v>
      </c>
    </row>
    <row r="70">
      <c r="B70" s="89" t="str">
        <f>IF(Calcul!B70="","",Calcul!B70)</f>
        <v>Gemini 2.5-pro</v>
      </c>
      <c r="C70" s="93">
        <f>IF(B70="",0,SUMIFS(D_CO2,D_Grp,B70,D_An,S_An))</f>
        <v>0</v>
      </c>
      <c r="D70" s="93">
        <f>IF(B70="",0,SUMIFS(D_kWh,D_Grp,B70,D_An,S_An))</f>
        <v>0</v>
      </c>
      <c r="E70" s="90">
        <f>IF(B70="",0,SUMIFS(D_TO,D_Grp,B70,D_An,S_An))</f>
        <v>0</v>
      </c>
      <c r="F70" s="105">
        <f>IF(B70="",0,SUMIFS(D_Brut,D_Grp,B70,D_An,S_An))</f>
        <v>0</v>
      </c>
      <c r="G70" s="107">
        <f>IF(B70="",-1,C70)-ROW()*1E-12</f>
        <v>-7e-11</v>
      </c>
      <c r="H70" s="90">
        <f>IF(B70="",0,SUMIFS(D_TO,D_Grp,B70))</f>
        <v>0</v>
      </c>
      <c r="J70" s="97">
        <f>DATE(S_An,1,1)+40</f>
        <v>46063.0</v>
      </c>
      <c r="K70" s="93">
        <f>SUMIFS(D_CO2,D_Jour,J70)</f>
        <v>0</v>
      </c>
    </row>
    <row r="71">
      <c r="B71" s="89" t="str">
        <f>IF(Calcul!B71="","",Calcul!B71)</f>
        <v>gemini-2.5-flash-lite</v>
      </c>
      <c r="C71" s="93">
        <f>IF(B71="",0,SUMIFS(D_CO2,D_Grp,B71,D_An,S_An))</f>
        <v>0</v>
      </c>
      <c r="D71" s="93">
        <f>IF(B71="",0,SUMIFS(D_kWh,D_Grp,B71,D_An,S_An))</f>
        <v>0</v>
      </c>
      <c r="E71" s="90">
        <f>IF(B71="",0,SUMIFS(D_TO,D_Grp,B71,D_An,S_An))</f>
        <v>0</v>
      </c>
      <c r="F71" s="105">
        <f>IF(B71="",0,SUMIFS(D_Brut,D_Grp,B71,D_An,S_An))</f>
        <v>0</v>
      </c>
      <c r="G71" s="107">
        <f>IF(B71="",-1,C71)-ROW()*1E-12</f>
        <v>-7.1e-11</v>
      </c>
      <c r="H71" s="90">
        <f>IF(B71="",0,SUMIFS(D_TO,D_Grp,B71))</f>
        <v>0</v>
      </c>
      <c r="J71" s="97">
        <f>DATE(S_An,1,1)+41</f>
        <v>46064.0</v>
      </c>
      <c r="K71" s="93">
        <f>SUMIFS(D_CO2,D_Jour,J71)</f>
        <v>0</v>
      </c>
    </row>
    <row r="72">
      <c r="B72" s="89" t="str">
        <f>IF(Calcul!B72="","",Calcul!B72)</f>
        <v>gemini-2.5-flash-tts</v>
      </c>
      <c r="C72" s="93">
        <f>IF(B72="",0,SUMIFS(D_CO2,D_Grp,B72,D_An,S_An))</f>
        <v>0</v>
      </c>
      <c r="D72" s="93">
        <f>IF(B72="",0,SUMIFS(D_kWh,D_Grp,B72,D_An,S_An))</f>
        <v>0</v>
      </c>
      <c r="E72" s="90">
        <f>IF(B72="",0,SUMIFS(D_TO,D_Grp,B72,D_An,S_An))</f>
        <v>0</v>
      </c>
      <c r="F72" s="105">
        <f>IF(B72="",0,SUMIFS(D_Brut,D_Grp,B72,D_An,S_An))</f>
        <v>0</v>
      </c>
      <c r="G72" s="107">
        <f>IF(B72="",-1,C72)-ROW()*1E-12</f>
        <v>-7.2e-11</v>
      </c>
      <c r="H72" s="90">
        <f>IF(B72="",0,SUMIFS(D_TO,D_Grp,B72))</f>
        <v>0</v>
      </c>
      <c r="J72" s="97">
        <f>DATE(S_An,1,1)+42</f>
        <v>46065.0</v>
      </c>
      <c r="K72" s="93">
        <f>SUMIFS(D_CO2,D_Jour,J72)</f>
        <v>0</v>
      </c>
    </row>
    <row r="73">
      <c r="B73" s="89" t="str">
        <f>IF(Calcul!B73="","",Calcul!B73)</f>
        <v>gemini-2.5-pro-tts</v>
      </c>
      <c r="C73" s="93">
        <f>IF(B73="",0,SUMIFS(D_CO2,D_Grp,B73,D_An,S_An))</f>
        <v>0</v>
      </c>
      <c r="D73" s="93">
        <f>IF(B73="",0,SUMIFS(D_kWh,D_Grp,B73,D_An,S_An))</f>
        <v>0</v>
      </c>
      <c r="E73" s="90">
        <f>IF(B73="",0,SUMIFS(D_TO,D_Grp,B73,D_An,S_An))</f>
        <v>0</v>
      </c>
      <c r="F73" s="105">
        <f>IF(B73="",0,SUMIFS(D_Brut,D_Grp,B73,D_An,S_An))</f>
        <v>0</v>
      </c>
      <c r="G73" s="107">
        <f>IF(B73="",-1,C73)-ROW()*1E-12</f>
        <v>-7.3e-11</v>
      </c>
      <c r="H73" s="90">
        <f>IF(B73="",0,SUMIFS(D_TO,D_Grp,B73))</f>
        <v>0</v>
      </c>
      <c r="J73" s="97">
        <f>DATE(S_An,1,1)+43</f>
        <v>46066.0</v>
      </c>
      <c r="K73" s="93">
        <f>SUMIFS(D_CO2,D_Jour,J73)</f>
        <v>0</v>
      </c>
    </row>
    <row r="74">
      <c r="B74" s="89" t="str">
        <f>IF(Calcul!B74="","",Calcul!B74)</f>
        <v>GPT 4.1</v>
      </c>
      <c r="C74" s="93">
        <f>IF(B74="",0,SUMIFS(D_CO2,D_Grp,B74,D_An,S_An))</f>
        <v>0</v>
      </c>
      <c r="D74" s="93">
        <f>IF(B74="",0,SUMIFS(D_kWh,D_Grp,B74,D_An,S_An))</f>
        <v>0</v>
      </c>
      <c r="E74" s="90">
        <f>IF(B74="",0,SUMIFS(D_TO,D_Grp,B74,D_An,S_An))</f>
        <v>0</v>
      </c>
      <c r="F74" s="105">
        <f>IF(B74="",0,SUMIFS(D_Brut,D_Grp,B74,D_An,S_An))</f>
        <v>0</v>
      </c>
      <c r="G74" s="107">
        <f>IF(B74="",-1,C74)-ROW()*1E-12</f>
        <v>-7.4e-11</v>
      </c>
      <c r="H74" s="90">
        <f>IF(B74="",0,SUMIFS(D_TO,D_Grp,B74))</f>
        <v>0</v>
      </c>
      <c r="J74" s="97">
        <f>DATE(S_An,1,1)+44</f>
        <v>46067.0</v>
      </c>
      <c r="K74" s="93">
        <f>SUMIFS(D_CO2,D_Jour,J74)</f>
        <v>0</v>
      </c>
    </row>
    <row r="75">
      <c r="B75" s="89" t="str">
        <f>IF(Calcul!B75="","",Calcul!B75)</f>
        <v>GPT-4.1 mini</v>
      </c>
      <c r="C75" s="93">
        <f>IF(B75="",0,SUMIFS(D_CO2,D_Grp,B75,D_An,S_An))</f>
        <v>0</v>
      </c>
      <c r="D75" s="93">
        <f>IF(B75="",0,SUMIFS(D_kWh,D_Grp,B75,D_An,S_An))</f>
        <v>0</v>
      </c>
      <c r="E75" s="90">
        <f>IF(B75="",0,SUMIFS(D_TO,D_Grp,B75,D_An,S_An))</f>
        <v>0</v>
      </c>
      <c r="F75" s="105">
        <f>IF(B75="",0,SUMIFS(D_Brut,D_Grp,B75,D_An,S_An))</f>
        <v>0</v>
      </c>
      <c r="G75" s="107">
        <f>IF(B75="",-1,C75)-ROW()*1E-12</f>
        <v>-7.5e-11</v>
      </c>
      <c r="H75" s="90">
        <f>IF(B75="",0,SUMIFS(D_TO,D_Grp,B75))</f>
        <v>0</v>
      </c>
      <c r="J75" s="97">
        <f>DATE(S_An,1,1)+45</f>
        <v>46068.0</v>
      </c>
      <c r="K75" s="93">
        <f>SUMIFS(D_CO2,D_Jour,J75)</f>
        <v>0</v>
      </c>
    </row>
    <row r="76">
      <c r="B76" s="89" t="str">
        <f>IF(Calcul!B76="","",Calcul!B76)</f>
        <v>GPT-4.1 nano</v>
      </c>
      <c r="C76" s="93">
        <f>IF(B76="",0,SUMIFS(D_CO2,D_Grp,B76,D_An,S_An))</f>
        <v>0</v>
      </c>
      <c r="D76" s="93">
        <f>IF(B76="",0,SUMIFS(D_kWh,D_Grp,B76,D_An,S_An))</f>
        <v>0</v>
      </c>
      <c r="E76" s="90">
        <f>IF(B76="",0,SUMIFS(D_TO,D_Grp,B76,D_An,S_An))</f>
        <v>0</v>
      </c>
      <c r="F76" s="105">
        <f>IF(B76="",0,SUMIFS(D_Brut,D_Grp,B76,D_An,S_An))</f>
        <v>0</v>
      </c>
      <c r="G76" s="107">
        <f>IF(B76="",-1,C76)-ROW()*1E-12</f>
        <v>-7.6e-11</v>
      </c>
      <c r="H76" s="90">
        <f>IF(B76="",0,SUMIFS(D_TO,D_Grp,B76))</f>
        <v>0</v>
      </c>
      <c r="J76" s="97">
        <f>DATE(S_An,1,1)+46</f>
        <v>46069.0</v>
      </c>
      <c r="K76" s="93">
        <f>SUMIFS(D_CO2,D_Jour,J76)</f>
        <v>0</v>
      </c>
    </row>
    <row r="77">
      <c r="B77" s="89" t="str">
        <f>IF(Calcul!B77="","",Calcul!B77)</f>
        <v>gpt-4o-2024-11-20</v>
      </c>
      <c r="C77" s="93">
        <f>IF(B77="",0,SUMIFS(D_CO2,D_Grp,B77,D_An,S_An))</f>
        <v>0</v>
      </c>
      <c r="D77" s="93">
        <f>IF(B77="",0,SUMIFS(D_kWh,D_Grp,B77,D_An,S_An))</f>
        <v>0</v>
      </c>
      <c r="E77" s="90">
        <f>IF(B77="",0,SUMIFS(D_TO,D_Grp,B77,D_An,S_An))</f>
        <v>0</v>
      </c>
      <c r="F77" s="105">
        <f>IF(B77="",0,SUMIFS(D_Brut,D_Grp,B77,D_An,S_An))</f>
        <v>0</v>
      </c>
      <c r="G77" s="107">
        <f>IF(B77="",-1,C77)-ROW()*1E-12</f>
        <v>-7.7e-11</v>
      </c>
      <c r="H77" s="90">
        <f>IF(B77="",0,SUMIFS(D_TO,D_Grp,B77))</f>
        <v>0</v>
      </c>
      <c r="J77" s="97">
        <f>DATE(S_An,1,1)+47</f>
        <v>46070.0</v>
      </c>
      <c r="K77" s="93">
        <f>SUMIFS(D_CO2,D_Jour,J77)</f>
        <v>0</v>
      </c>
    </row>
    <row r="78">
      <c r="B78" s="89" t="str">
        <f>IF(Calcul!B78="","",Calcul!B78)</f>
        <v>gpt-4o-mini-2024-07-18</v>
      </c>
      <c r="C78" s="93">
        <f>IF(B78="",0,SUMIFS(D_CO2,D_Grp,B78,D_An,S_An))</f>
        <v>0</v>
      </c>
      <c r="D78" s="93">
        <f>IF(B78="",0,SUMIFS(D_kWh,D_Grp,B78,D_An,S_An))</f>
        <v>0</v>
      </c>
      <c r="E78" s="90">
        <f>IF(B78="",0,SUMIFS(D_TO,D_Grp,B78,D_An,S_An))</f>
        <v>0</v>
      </c>
      <c r="F78" s="105">
        <f>IF(B78="",0,SUMIFS(D_Brut,D_Grp,B78,D_An,S_An))</f>
        <v>0</v>
      </c>
      <c r="G78" s="107">
        <f>IF(B78="",-1,C78)-ROW()*1E-12</f>
        <v>-7.8e-11</v>
      </c>
      <c r="H78" s="90">
        <f>IF(B78="",0,SUMIFS(D_TO,D_Grp,B78))</f>
        <v>0</v>
      </c>
      <c r="J78" s="97">
        <f>DATE(S_An,1,1)+48</f>
        <v>46071.0</v>
      </c>
      <c r="K78" s="93">
        <f>SUMIFS(D_CO2,D_Jour,J78)</f>
        <v>0</v>
      </c>
    </row>
    <row r="79">
      <c r="B79" s="89" t="str">
        <f>IF(Calcul!B79="","",Calcul!B79)</f>
        <v>gpt-4o-transcribe-2025-03-20</v>
      </c>
      <c r="C79" s="93">
        <f>IF(B79="",0,SUMIFS(D_CO2,D_Grp,B79,D_An,S_An))</f>
        <v>0</v>
      </c>
      <c r="D79" s="93">
        <f>IF(B79="",0,SUMIFS(D_kWh,D_Grp,B79,D_An,S_An))</f>
        <v>0</v>
      </c>
      <c r="E79" s="90">
        <f>IF(B79="",0,SUMIFS(D_TO,D_Grp,B79,D_An,S_An))</f>
        <v>0</v>
      </c>
      <c r="F79" s="105">
        <f>IF(B79="",0,SUMIFS(D_Brut,D_Grp,B79,D_An,S_An))</f>
        <v>0</v>
      </c>
      <c r="G79" s="107">
        <f>IF(B79="",-1,C79)-ROW()*1E-12</f>
        <v>-7.9e-11</v>
      </c>
      <c r="H79" s="90">
        <f>IF(B79="",0,SUMIFS(D_TO,D_Grp,B79))</f>
        <v>0</v>
      </c>
      <c r="J79" s="97">
        <f>DATE(S_An,1,1)+49</f>
        <v>46072.0</v>
      </c>
      <c r="K79" s="93">
        <f>SUMIFS(D_CO2,D_Jour,J79)</f>
        <v>0</v>
      </c>
    </row>
    <row r="80">
      <c r="B80" s="89" t="str">
        <f>IF(Calcul!B80="","",Calcul!B80)</f>
        <v>GPT-5</v>
      </c>
      <c r="C80" s="93">
        <f>IF(B80="",0,SUMIFS(D_CO2,D_Grp,B80,D_An,S_An))</f>
        <v>0</v>
      </c>
      <c r="D80" s="93">
        <f>IF(B80="",0,SUMIFS(D_kWh,D_Grp,B80,D_An,S_An))</f>
        <v>0</v>
      </c>
      <c r="E80" s="90">
        <f>IF(B80="",0,SUMIFS(D_TO,D_Grp,B80,D_An,S_An))</f>
        <v>0</v>
      </c>
      <c r="F80" s="105">
        <f>IF(B80="",0,SUMIFS(D_Brut,D_Grp,B80,D_An,S_An))</f>
        <v>0</v>
      </c>
      <c r="G80" s="107">
        <f>IF(B80="",-1,C80)-ROW()*1E-12</f>
        <v>-8e-11</v>
      </c>
      <c r="H80" s="90">
        <f>IF(B80="",0,SUMIFS(D_TO,D_Grp,B80))</f>
        <v>0</v>
      </c>
      <c r="J80" s="97">
        <f>DATE(S_An,1,1)+50</f>
        <v>46073.0</v>
      </c>
      <c r="K80" s="93">
        <f>SUMIFS(D_CO2,D_Jour,J80)</f>
        <v>0</v>
      </c>
    </row>
    <row r="81">
      <c r="B81" s="89" t="str">
        <f>IF(Calcul!B81="","",Calcul!B81)</f>
        <v>GPT-5 nano</v>
      </c>
      <c r="C81" s="93">
        <f>IF(B81="",0,SUMIFS(D_CO2,D_Grp,B81,D_An,S_An))</f>
        <v>0</v>
      </c>
      <c r="D81" s="93">
        <f>IF(B81="",0,SUMIFS(D_kWh,D_Grp,B81,D_An,S_An))</f>
        <v>0</v>
      </c>
      <c r="E81" s="90">
        <f>IF(B81="",0,SUMIFS(D_TO,D_Grp,B81,D_An,S_An))</f>
        <v>0</v>
      </c>
      <c r="F81" s="105">
        <f>IF(B81="",0,SUMIFS(D_Brut,D_Grp,B81,D_An,S_An))</f>
        <v>0</v>
      </c>
      <c r="G81" s="107">
        <f>IF(B81="",-1,C81)-ROW()*1E-12</f>
        <v>-8.1e-11</v>
      </c>
      <c r="H81" s="90">
        <f>IF(B81="",0,SUMIFS(D_TO,D_Grp,B81))</f>
        <v>0</v>
      </c>
      <c r="J81" s="97">
        <f>DATE(S_An,1,1)+51</f>
        <v>46074.0</v>
      </c>
      <c r="K81" s="93">
        <f>SUMIFS(D_CO2,D_Jour,J81)</f>
        <v>0</v>
      </c>
    </row>
    <row r="82">
      <c r="B82" s="89" t="str">
        <f>IF(Calcul!B82="","",Calcul!B82)</f>
        <v>mistral-document-ai-2512</v>
      </c>
      <c r="C82" s="93">
        <f>IF(B82="",0,SUMIFS(D_CO2,D_Grp,B82,D_An,S_An))</f>
        <v>0</v>
      </c>
      <c r="D82" s="93">
        <f>IF(B82="",0,SUMIFS(D_kWh,D_Grp,B82,D_An,S_An))</f>
        <v>0</v>
      </c>
      <c r="E82" s="90">
        <f>IF(B82="",0,SUMIFS(D_TO,D_Grp,B82,D_An,S_An))</f>
        <v>0</v>
      </c>
      <c r="F82" s="105">
        <f>IF(B82="",0,SUMIFS(D_Brut,D_Grp,B82,D_An,S_An))</f>
        <v>0</v>
      </c>
      <c r="G82" s="107">
        <f>IF(B82="",-1,C82)-ROW()*1E-12</f>
        <v>-8.2e-11</v>
      </c>
      <c r="H82" s="90">
        <f>IF(B82="",0,SUMIFS(D_TO,D_Grp,B82))</f>
        <v>0</v>
      </c>
      <c r="J82" s="97">
        <f>DATE(S_An,1,1)+52</f>
        <v>46075.0</v>
      </c>
      <c r="K82" s="93">
        <f>SUMIFS(D_CO2,D_Jour,J82)</f>
        <v>0</v>
      </c>
    </row>
    <row r="83">
      <c r="B83" s="89" t="str">
        <f>IF(Calcul!B83="","",Calcul!B83)</f>
        <v>mistral-large-2512</v>
      </c>
      <c r="C83" s="93">
        <f>IF(B83="",0,SUMIFS(D_CO2,D_Grp,B83,D_An,S_An))</f>
        <v>0</v>
      </c>
      <c r="D83" s="93">
        <f>IF(B83="",0,SUMIFS(D_kWh,D_Grp,B83,D_An,S_An))</f>
        <v>0</v>
      </c>
      <c r="E83" s="90">
        <f>IF(B83="",0,SUMIFS(D_TO,D_Grp,B83,D_An,S_An))</f>
        <v>0</v>
      </c>
      <c r="F83" s="105">
        <f>IF(B83="",0,SUMIFS(D_Brut,D_Grp,B83,D_An,S_An))</f>
        <v>0</v>
      </c>
      <c r="G83" s="107">
        <f>IF(B83="",-1,C83)-ROW()*1E-12</f>
        <v>-8.3e-11</v>
      </c>
      <c r="H83" s="90">
        <f>IF(B83="",0,SUMIFS(D_TO,D_Grp,B83))</f>
        <v>0</v>
      </c>
      <c r="J83" s="97">
        <f>DATE(S_An,1,1)+53</f>
        <v>46076.0</v>
      </c>
      <c r="K83" s="93">
        <f>SUMIFS(D_CO2,D_Jour,J83)</f>
        <v>0</v>
      </c>
    </row>
    <row r="84">
      <c r="B84" s="89" t="str">
        <f>IF(Calcul!B84="","",Calcul!B84)</f>
        <v>mistral-medium-2505</v>
      </c>
      <c r="C84" s="93">
        <f>IF(B84="",0,SUMIFS(D_CO2,D_Grp,B84,D_An,S_An))</f>
        <v>0</v>
      </c>
      <c r="D84" s="93">
        <f>IF(B84="",0,SUMIFS(D_kWh,D_Grp,B84,D_An,S_An))</f>
        <v>0</v>
      </c>
      <c r="E84" s="90">
        <f>IF(B84="",0,SUMIFS(D_TO,D_Grp,B84,D_An,S_An))</f>
        <v>0</v>
      </c>
      <c r="F84" s="105">
        <f>IF(B84="",0,SUMIFS(D_Brut,D_Grp,B84,D_An,S_An))</f>
        <v>0</v>
      </c>
      <c r="G84" s="107">
        <f>IF(B84="",-1,C84)-ROW()*1E-12</f>
        <v>-8.4e-11</v>
      </c>
      <c r="H84" s="90">
        <f>IF(B84="",0,SUMIFS(D_TO,D_Grp,B84))</f>
        <v>0</v>
      </c>
      <c r="J84" s="97">
        <f>DATE(S_An,1,1)+54</f>
        <v>46077.0</v>
      </c>
      <c r="K84" s="93">
        <f>SUMIFS(D_CO2,D_Jour,J84)</f>
        <v>0</v>
      </c>
    </row>
    <row r="85">
      <c r="B85" s="89" t="str">
        <f>IF(Calcul!B85="","",Calcul!B85)</f>
        <v>mistral-small-2503</v>
      </c>
      <c r="C85" s="93">
        <f>IF(B85="",0,SUMIFS(D_CO2,D_Grp,B85,D_An,S_An))</f>
        <v>0</v>
      </c>
      <c r="D85" s="93">
        <f>IF(B85="",0,SUMIFS(D_kWh,D_Grp,B85,D_An,S_An))</f>
        <v>0</v>
      </c>
      <c r="E85" s="90">
        <f>IF(B85="",0,SUMIFS(D_TO,D_Grp,B85,D_An,S_An))</f>
        <v>0</v>
      </c>
      <c r="F85" s="105">
        <f>IF(B85="",0,SUMIFS(D_Brut,D_Grp,B85,D_An,S_An))</f>
        <v>0</v>
      </c>
      <c r="G85" s="107">
        <f>IF(B85="",-1,C85)-ROW()*1E-12</f>
        <v>-8.5e-11</v>
      </c>
      <c r="H85" s="90">
        <f>IF(B85="",0,SUMIFS(D_TO,D_Grp,B85))</f>
        <v>0</v>
      </c>
      <c r="J85" s="97">
        <f>DATE(S_An,1,1)+55</f>
        <v>46078.0</v>
      </c>
      <c r="K85" s="93">
        <f>SUMIFS(D_CO2,D_Jour,J85)</f>
        <v>0</v>
      </c>
    </row>
    <row r="86">
      <c r="B86" s="89" t="str">
        <f>IF(Calcul!B86="","",Calcul!B86)</f>
        <v>o3-mini (2025-01-31)</v>
      </c>
      <c r="C86" s="93">
        <f>IF(B86="",0,SUMIFS(D_CO2,D_Grp,B86,D_An,S_An))</f>
        <v>0</v>
      </c>
      <c r="D86" s="93">
        <f>IF(B86="",0,SUMIFS(D_kWh,D_Grp,B86,D_An,S_An))</f>
        <v>0</v>
      </c>
      <c r="E86" s="90">
        <f>IF(B86="",0,SUMIFS(D_TO,D_Grp,B86,D_An,S_An))</f>
        <v>0</v>
      </c>
      <c r="F86" s="105">
        <f>IF(B86="",0,SUMIFS(D_Brut,D_Grp,B86,D_An,S_An))</f>
        <v>0</v>
      </c>
      <c r="G86" s="107">
        <f>IF(B86="",-1,C86)-ROW()*1E-12</f>
        <v>-8.6e-11</v>
      </c>
      <c r="H86" s="90">
        <f>IF(B86="",0,SUMIFS(D_TO,D_Grp,B86))</f>
        <v>0</v>
      </c>
      <c r="J86" s="97">
        <f>DATE(S_An,1,1)+56</f>
        <v>46079.0</v>
      </c>
      <c r="K86" s="93">
        <f>SUMIFS(D_CO2,D_Jour,J86)</f>
        <v>0</v>
      </c>
    </row>
    <row r="87">
      <c r="B87" s="89" t="str">
        <f>IF(Calcul!B87="","",Calcul!B87)</f>
        <v>o3-2025-04-16</v>
      </c>
      <c r="C87" s="93">
        <f>IF(B87="",0,SUMIFS(D_CO2,D_Grp,B87,D_An,S_An))</f>
        <v>0</v>
      </c>
      <c r="D87" s="93">
        <f>IF(B87="",0,SUMIFS(D_kWh,D_Grp,B87,D_An,S_An))</f>
        <v>0</v>
      </c>
      <c r="E87" s="90">
        <f>IF(B87="",0,SUMIFS(D_TO,D_Grp,B87,D_An,S_An))</f>
        <v>0</v>
      </c>
      <c r="F87" s="105">
        <f>IF(B87="",0,SUMIFS(D_Brut,D_Grp,B87,D_An,S_An))</f>
        <v>0</v>
      </c>
      <c r="G87" s="107">
        <f>IF(B87="",-1,C87)-ROW()*1E-12</f>
        <v>-8.7e-11</v>
      </c>
      <c r="H87" s="90">
        <f>IF(B87="",0,SUMIFS(D_TO,D_Grp,B87))</f>
        <v>0</v>
      </c>
      <c r="J87" s="97">
        <f>DATE(S_An,1,1)+57</f>
        <v>46080.0</v>
      </c>
      <c r="K87" s="93">
        <f>SUMIFS(D_CO2,D_Jour,J87)</f>
        <v>0</v>
      </c>
    </row>
    <row r="88">
      <c r="B88" s="89" t="str">
        <f>IF(Calcul!B88="","",Calcul!B88)</f>
        <v>o4-mini-2025-04-16</v>
      </c>
      <c r="C88" s="93">
        <f>IF(B88="",0,SUMIFS(D_CO2,D_Grp,B88,D_An,S_An))</f>
        <v>0</v>
      </c>
      <c r="D88" s="93">
        <f>IF(B88="",0,SUMIFS(D_kWh,D_Grp,B88,D_An,S_An))</f>
        <v>0</v>
      </c>
      <c r="E88" s="90">
        <f>IF(B88="",0,SUMIFS(D_TO,D_Grp,B88,D_An,S_An))</f>
        <v>0</v>
      </c>
      <c r="F88" s="105">
        <f>IF(B88="",0,SUMIFS(D_Brut,D_Grp,B88,D_An,S_An))</f>
        <v>0</v>
      </c>
      <c r="G88" s="107">
        <f>IF(B88="",-1,C88)-ROW()*1E-12</f>
        <v>-8.8e-11</v>
      </c>
      <c r="H88" s="90">
        <f>IF(B88="",0,SUMIFS(D_TO,D_Grp,B88))</f>
        <v>0</v>
      </c>
      <c r="J88" s="97">
        <f>DATE(S_An,1,1)+58</f>
        <v>46081.0</v>
      </c>
      <c r="K88" s="93">
        <f>SUMIFS(D_CO2,D_Jour,J88)</f>
        <v>0</v>
      </c>
    </row>
    <row r="89">
      <c r="B89" s="89" t="str">
        <f>IF(Calcul!B89="","",Calcul!B89)</f>
        <v>text-embedding-3-large-1</v>
      </c>
      <c r="C89" s="93">
        <f>IF(B89="",0,SUMIFS(D_CO2,D_Grp,B89,D_An,S_An))</f>
        <v>0</v>
      </c>
      <c r="D89" s="93">
        <f>IF(B89="",0,SUMIFS(D_kWh,D_Grp,B89,D_An,S_An))</f>
        <v>0</v>
      </c>
      <c r="E89" s="90">
        <f>IF(B89="",0,SUMIFS(D_TO,D_Grp,B89,D_An,S_An))</f>
        <v>0</v>
      </c>
      <c r="F89" s="105">
        <f>IF(B89="",0,SUMIFS(D_Brut,D_Grp,B89,D_An,S_An))</f>
        <v>0</v>
      </c>
      <c r="G89" s="107">
        <f>IF(B89="",-1,C89)-ROW()*1E-12</f>
        <v>-8.9e-11</v>
      </c>
      <c r="H89" s="90">
        <f>IF(B89="",0,SUMIFS(D_TO,D_Grp,B89))</f>
        <v>0</v>
      </c>
      <c r="J89" s="97">
        <f>DATE(S_An,1,1)+59</f>
        <v>46082.0</v>
      </c>
      <c r="K89" s="93">
        <f>SUMIFS(D_CO2,D_Jour,J89)</f>
        <v>0</v>
      </c>
    </row>
    <row r="90">
      <c r="B90" s="89" t="str">
        <f>IF(Calcul!B90="","",Calcul!B90)</f>
        <v>text-embedding-ada-002</v>
      </c>
      <c r="C90" s="93">
        <f>IF(B90="",0,SUMIFS(D_CO2,D_Grp,B90,D_An,S_An))</f>
        <v>0</v>
      </c>
      <c r="D90" s="93">
        <f>IF(B90="",0,SUMIFS(D_kWh,D_Grp,B90,D_An,S_An))</f>
        <v>0</v>
      </c>
      <c r="E90" s="90">
        <f>IF(B90="",0,SUMIFS(D_TO,D_Grp,B90,D_An,S_An))</f>
        <v>0</v>
      </c>
      <c r="F90" s="105">
        <f>IF(B90="",0,SUMIFS(D_Brut,D_Grp,B90,D_An,S_An))</f>
        <v>0</v>
      </c>
      <c r="G90" s="107">
        <f>IF(B90="",-1,C90)-ROW()*1E-12</f>
        <v>-9e-11</v>
      </c>
      <c r="H90" s="90">
        <f>IF(B90="",0,SUMIFS(D_TO,D_Grp,B90))</f>
        <v>0</v>
      </c>
      <c r="J90" s="97">
        <f>DATE(S_An,1,1)+60</f>
        <v>46083.0</v>
      </c>
      <c r="K90" s="93">
        <f>SUMIFS(D_CO2,D_Jour,J90)</f>
        <v>0</v>
      </c>
    </row>
    <row r="91">
      <c r="B91" s="89" t="str">
        <f>IF(Calcul!B91="","",Calcul!B91)</f>
        <v>qwen3-235b-a22b-instruct-2507</v>
      </c>
      <c r="C91" s="93">
        <f>IF(B91="",0,SUMIFS(D_CO2,D_Grp,B91,D_An,S_An))</f>
        <v>0</v>
      </c>
      <c r="D91" s="93">
        <f>IF(B91="",0,SUMIFS(D_kWh,D_Grp,B91,D_An,S_An))</f>
        <v>0</v>
      </c>
      <c r="E91" s="90">
        <f>IF(B91="",0,SUMIFS(D_TO,D_Grp,B91,D_An,S_An))</f>
        <v>0</v>
      </c>
      <c r="F91" s="105">
        <f>IF(B91="",0,SUMIFS(D_Brut,D_Grp,B91,D_An,S_An))</f>
        <v>0</v>
      </c>
      <c r="G91" s="107">
        <f>IF(B91="",-1,C91)-ROW()*1E-12</f>
        <v>-9.1e-11</v>
      </c>
      <c r="H91" s="90">
        <f>IF(B91="",0,SUMIFS(D_TO,D_Grp,B91))</f>
        <v>0</v>
      </c>
      <c r="J91" s="97">
        <f>DATE(S_An,1,1)+61</f>
        <v>46084.0</v>
      </c>
      <c r="K91" s="93">
        <f>SUMIFS(D_CO2,D_Jour,J91)</f>
        <v>0</v>
      </c>
    </row>
    <row r="92">
      <c r="B92" s="89" t="str">
        <f>IF(Calcul!B92="","",Calcul!B92)</f>
        <v>Code Review model</v>
      </c>
      <c r="C92" s="93">
        <f>IF(B92="",0,SUMIFS(D_CO2,D_Grp,B92,D_An,S_An))</f>
        <v>0</v>
      </c>
      <c r="D92" s="93">
        <f>IF(B92="",0,SUMIFS(D_kWh,D_Grp,B92,D_An,S_An))</f>
        <v>0</v>
      </c>
      <c r="E92" s="90">
        <f>IF(B92="",0,SUMIFS(D_TO,D_Grp,B92,D_An,S_An))</f>
        <v>0</v>
      </c>
      <c r="F92" s="105">
        <f>IF(B92="",0,SUMIFS(D_Brut,D_Grp,B92,D_An,S_An))</f>
        <v>0</v>
      </c>
      <c r="G92" s="107">
        <f>IF(B92="",-1,C92)-ROW()*1E-12</f>
        <v>-9.2e-11</v>
      </c>
      <c r="H92" s="90">
        <f>IF(B92="",0,SUMIFS(D_TO,D_Grp,B92))</f>
        <v>0</v>
      </c>
      <c r="J92" s="97">
        <f>DATE(S_An,1,1)+62</f>
        <v>46085.0</v>
      </c>
      <c r="K92" s="93">
        <f>SUMIFS(D_CO2,D_Jour,J92)</f>
        <v>0</v>
      </c>
    </row>
    <row r="93">
      <c r="B93" s="89" t="str">
        <f>IF(Calcul!B93="","",Calcul!B93)</f>
        <v>(Autre modèle)</v>
      </c>
      <c r="C93" s="93">
        <f>IF(B93="",0,SUMIFS(D_CO2,D_Grp,B93,D_An,S_An))</f>
        <v>0</v>
      </c>
      <c r="D93" s="93">
        <f>IF(B93="",0,SUMIFS(D_kWh,D_Grp,B93,D_An,S_An))</f>
        <v>0</v>
      </c>
      <c r="E93" s="90">
        <f>IF(B93="",0,SUMIFS(D_TO,D_Grp,B93,D_An,S_An))</f>
        <v>0</v>
      </c>
      <c r="F93" s="105">
        <f>IF(B93="",0,SUMIFS(D_Brut,D_Grp,B93,D_An,S_An))</f>
        <v>0</v>
      </c>
      <c r="G93" s="107">
        <f>IF(B93="",-1,C93)-ROW()*1E-12</f>
        <v>-9.3e-11</v>
      </c>
      <c r="H93" s="90">
        <f>IF(B93="",0,SUMIFS(D_TO,D_Grp,B93))</f>
        <v>0</v>
      </c>
      <c r="J93" s="97">
        <f>DATE(S_An,1,1)+63</f>
        <v>46086.0</v>
      </c>
      <c r="K93" s="93">
        <f>SUMIFS(D_CO2,D_Jour,J93)</f>
        <v>0</v>
      </c>
    </row>
    <row r="94">
      <c r="B94" s="89" t="str">
        <f>IF(Calcul!B94="","",Calcul!B94)</f>
        <v/>
      </c>
      <c r="C94" s="93">
        <f>IF(B94="",0,SUMIFS(D_CO2,D_Grp,B94,D_An,S_An))</f>
        <v>0</v>
      </c>
      <c r="D94" s="93">
        <f>IF(B94="",0,SUMIFS(D_kWh,D_Grp,B94,D_An,S_An))</f>
        <v>0</v>
      </c>
      <c r="E94" s="90">
        <f>IF(B94="",0,SUMIFS(D_TO,D_Grp,B94,D_An,S_An))</f>
        <v>0</v>
      </c>
      <c r="F94" s="105">
        <f>IF(B94="",0,SUMIFS(D_Brut,D_Grp,B94,D_An,S_An))</f>
        <v>0</v>
      </c>
      <c r="G94" s="107">
        <f>IF(B94="",-1,C94)-ROW()*1E-12</f>
        <v>-1.000000000094</v>
      </c>
      <c r="H94" s="90">
        <f>IF(B94="",0,SUMIFS(D_TO,D_Grp,B94))</f>
        <v>0</v>
      </c>
      <c r="J94" s="97">
        <f>DATE(S_An,1,1)+64</f>
        <v>46087.0</v>
      </c>
      <c r="K94" s="93">
        <f>SUMIFS(D_CO2,D_Jour,J94)</f>
        <v>0</v>
      </c>
    </row>
    <row r="95">
      <c r="B95" s="89" t="str">
        <f>IF(Calcul!B95="","",Calcul!B95)</f>
        <v/>
      </c>
      <c r="C95" s="93">
        <f>IF(B95="",0,SUMIFS(D_CO2,D_Grp,B95,D_An,S_An))</f>
        <v>0</v>
      </c>
      <c r="D95" s="93">
        <f>IF(B95="",0,SUMIFS(D_kWh,D_Grp,B95,D_An,S_An))</f>
        <v>0</v>
      </c>
      <c r="E95" s="90">
        <f>IF(B95="",0,SUMIFS(D_TO,D_Grp,B95,D_An,S_An))</f>
        <v>0</v>
      </c>
      <c r="F95" s="105">
        <f>IF(B95="",0,SUMIFS(D_Brut,D_Grp,B95,D_An,S_An))</f>
        <v>0</v>
      </c>
      <c r="G95" s="107">
        <f>IF(B95="",-1,C95)-ROW()*1E-12</f>
        <v>-1.000000000095</v>
      </c>
      <c r="H95" s="90">
        <f>IF(B95="",0,SUMIFS(D_TO,D_Grp,B95))</f>
        <v>0</v>
      </c>
      <c r="J95" s="97">
        <f>DATE(S_An,1,1)+65</f>
        <v>46088.0</v>
      </c>
      <c r="K95" s="93">
        <f>SUMIFS(D_CO2,D_Jour,J95)</f>
        <v>0</v>
      </c>
    </row>
    <row r="96">
      <c r="B96" s="89" t="str">
        <f>IF(Calcul!B96="","",Calcul!B96)</f>
        <v/>
      </c>
      <c r="C96" s="93">
        <f>IF(B96="",0,SUMIFS(D_CO2,D_Grp,B96,D_An,S_An))</f>
        <v>0</v>
      </c>
      <c r="D96" s="93">
        <f>IF(B96="",0,SUMIFS(D_kWh,D_Grp,B96,D_An,S_An))</f>
        <v>0</v>
      </c>
      <c r="E96" s="90">
        <f>IF(B96="",0,SUMIFS(D_TO,D_Grp,B96,D_An,S_An))</f>
        <v>0</v>
      </c>
      <c r="F96" s="105">
        <f>IF(B96="",0,SUMIFS(D_Brut,D_Grp,B96,D_An,S_An))</f>
        <v>0</v>
      </c>
      <c r="G96" s="107">
        <f>IF(B96="",-1,C96)-ROW()*1E-12</f>
        <v>-1.000000000096</v>
      </c>
      <c r="H96" s="90">
        <f>IF(B96="",0,SUMIFS(D_TO,D_Grp,B96))</f>
        <v>0</v>
      </c>
      <c r="J96" s="97">
        <f>DATE(S_An,1,1)+66</f>
        <v>46089.0</v>
      </c>
      <c r="K96" s="93">
        <f>SUMIFS(D_CO2,D_Jour,J96)</f>
        <v>0</v>
      </c>
    </row>
    <row r="97">
      <c r="B97" s="89" t="str">
        <f>IF(Calcul!B97="","",Calcul!B97)</f>
        <v/>
      </c>
      <c r="C97" s="93">
        <f>IF(B97="",0,SUMIFS(D_CO2,D_Grp,B97,D_An,S_An))</f>
        <v>0</v>
      </c>
      <c r="D97" s="93">
        <f>IF(B97="",0,SUMIFS(D_kWh,D_Grp,B97,D_An,S_An))</f>
        <v>0</v>
      </c>
      <c r="E97" s="90">
        <f>IF(B97="",0,SUMIFS(D_TO,D_Grp,B97,D_An,S_An))</f>
        <v>0</v>
      </c>
      <c r="F97" s="105">
        <f>IF(B97="",0,SUMIFS(D_Brut,D_Grp,B97,D_An,S_An))</f>
        <v>0</v>
      </c>
      <c r="G97" s="107">
        <f>IF(B97="",-1,C97)-ROW()*1E-12</f>
        <v>-1.000000000097</v>
      </c>
      <c r="H97" s="90">
        <f>IF(B97="",0,SUMIFS(D_TO,D_Grp,B97))</f>
        <v>0</v>
      </c>
      <c r="J97" s="97">
        <f>DATE(S_An,1,1)+67</f>
        <v>46090.0</v>
      </c>
      <c r="K97" s="93">
        <f>SUMIFS(D_CO2,D_Jour,J97)</f>
        <v>0</v>
      </c>
    </row>
    <row r="98">
      <c r="B98" s="89" t="str">
        <f>IF(Calcul!B98="","",Calcul!B98)</f>
        <v/>
      </c>
      <c r="C98" s="93">
        <f>IF(B98="",0,SUMIFS(D_CO2,D_Grp,B98,D_An,S_An))</f>
        <v>0</v>
      </c>
      <c r="D98" s="93">
        <f>IF(B98="",0,SUMIFS(D_kWh,D_Grp,B98,D_An,S_An))</f>
        <v>0</v>
      </c>
      <c r="E98" s="90">
        <f>IF(B98="",0,SUMIFS(D_TO,D_Grp,B98,D_An,S_An))</f>
        <v>0</v>
      </c>
      <c r="F98" s="105">
        <f>IF(B98="",0,SUMIFS(D_Brut,D_Grp,B98,D_An,S_An))</f>
        <v>0</v>
      </c>
      <c r="G98" s="107">
        <f>IF(B98="",-1,C98)-ROW()*1E-12</f>
        <v>-1.000000000098</v>
      </c>
      <c r="H98" s="90">
        <f>IF(B98="",0,SUMIFS(D_TO,D_Grp,B98))</f>
        <v>0</v>
      </c>
      <c r="J98" s="97">
        <f>DATE(S_An,1,1)+68</f>
        <v>46091.0</v>
      </c>
      <c r="K98" s="93">
        <f>SUMIFS(D_CO2,D_Jour,J98)</f>
        <v>0</v>
      </c>
    </row>
    <row r="99">
      <c r="B99" s="89" t="str">
        <f>IF(Calcul!B99="","",Calcul!B99)</f>
        <v/>
      </c>
      <c r="C99" s="93">
        <f>IF(B99="",0,SUMIFS(D_CO2,D_Grp,B99,D_An,S_An))</f>
        <v>0</v>
      </c>
      <c r="D99" s="93">
        <f>IF(B99="",0,SUMIFS(D_kWh,D_Grp,B99,D_An,S_An))</f>
        <v>0</v>
      </c>
      <c r="E99" s="90">
        <f>IF(B99="",0,SUMIFS(D_TO,D_Grp,B99,D_An,S_An))</f>
        <v>0</v>
      </c>
      <c r="F99" s="105">
        <f>IF(B99="",0,SUMIFS(D_Brut,D_Grp,B99,D_An,S_An))</f>
        <v>0</v>
      </c>
      <c r="G99" s="107">
        <f>IF(B99="",-1,C99)-ROW()*1E-12</f>
        <v>-1.000000000099</v>
      </c>
      <c r="H99" s="90">
        <f>IF(B99="",0,SUMIFS(D_TO,D_Grp,B99))</f>
        <v>0</v>
      </c>
      <c r="J99" s="97">
        <f>DATE(S_An,1,1)+69</f>
        <v>46092.0</v>
      </c>
      <c r="K99" s="93">
        <f>SUMIFS(D_CO2,D_Jour,J99)</f>
        <v>0</v>
      </c>
    </row>
    <row r="100">
      <c r="B100" s="89" t="str">
        <f>IF(Calcul!B100="","",Calcul!B100)</f>
        <v/>
      </c>
      <c r="C100" s="93">
        <f>IF(B100="",0,SUMIFS(D_CO2,D_Grp,B100,D_An,S_An))</f>
        <v>0</v>
      </c>
      <c r="D100" s="93">
        <f>IF(B100="",0,SUMIFS(D_kWh,D_Grp,B100,D_An,S_An))</f>
        <v>0</v>
      </c>
      <c r="E100" s="90">
        <f>IF(B100="",0,SUMIFS(D_TO,D_Grp,B100,D_An,S_An))</f>
        <v>0</v>
      </c>
      <c r="F100" s="105">
        <f>IF(B100="",0,SUMIFS(D_Brut,D_Grp,B100,D_An,S_An))</f>
        <v>0</v>
      </c>
      <c r="G100" s="107">
        <f>IF(B100="",-1,C100)-ROW()*1E-12</f>
        <v>-1.0000000001</v>
      </c>
      <c r="H100" s="90">
        <f>IF(B100="",0,SUMIFS(D_TO,D_Grp,B100))</f>
        <v>0</v>
      </c>
      <c r="J100" s="97">
        <f>DATE(S_An,1,1)+70</f>
        <v>46093.0</v>
      </c>
      <c r="K100" s="93">
        <f>SUMIFS(D_CO2,D_Jour,J100)</f>
        <v>0</v>
      </c>
    </row>
    <row r="101">
      <c r="B101" s="89" t="str">
        <f>IF(Calcul!B101="","",Calcul!B101)</f>
        <v/>
      </c>
      <c r="C101" s="93">
        <f>IF(B101="",0,SUMIFS(D_CO2,D_Grp,B101,D_An,S_An))</f>
        <v>0</v>
      </c>
      <c r="D101" s="93">
        <f>IF(B101="",0,SUMIFS(D_kWh,D_Grp,B101,D_An,S_An))</f>
        <v>0</v>
      </c>
      <c r="E101" s="90">
        <f>IF(B101="",0,SUMIFS(D_TO,D_Grp,B101,D_An,S_An))</f>
        <v>0</v>
      </c>
      <c r="F101" s="105">
        <f>IF(B101="",0,SUMIFS(D_Brut,D_Grp,B101,D_An,S_An))</f>
        <v>0</v>
      </c>
      <c r="G101" s="107">
        <f>IF(B101="",-1,C101)-ROW()*1E-12</f>
        <v>-1.000000000101</v>
      </c>
      <c r="H101" s="90">
        <f>IF(B101="",0,SUMIFS(D_TO,D_Grp,B101))</f>
        <v>0</v>
      </c>
      <c r="J101" s="97">
        <f>DATE(S_An,1,1)+71</f>
        <v>46094.0</v>
      </c>
      <c r="K101" s="93">
        <f>SUMIFS(D_CO2,D_Jour,J101)</f>
        <v>0</v>
      </c>
    </row>
    <row r="102">
      <c r="B102" s="89" t="str">
        <f>IF(Calcul!B102="","",Calcul!B102)</f>
        <v/>
      </c>
      <c r="C102" s="93">
        <f>IF(B102="",0,SUMIFS(D_CO2,D_Grp,B102,D_An,S_An))</f>
        <v>0</v>
      </c>
      <c r="D102" s="93">
        <f>IF(B102="",0,SUMIFS(D_kWh,D_Grp,B102,D_An,S_An))</f>
        <v>0</v>
      </c>
      <c r="E102" s="90">
        <f>IF(B102="",0,SUMIFS(D_TO,D_Grp,B102,D_An,S_An))</f>
        <v>0</v>
      </c>
      <c r="F102" s="105">
        <f>IF(B102="",0,SUMIFS(D_Brut,D_Grp,B102,D_An,S_An))</f>
        <v>0</v>
      </c>
      <c r="G102" s="107">
        <f>IF(B102="",-1,C102)-ROW()*1E-12</f>
        <v>-1.000000000102</v>
      </c>
      <c r="H102" s="90">
        <f>IF(B102="",0,SUMIFS(D_TO,D_Grp,B102))</f>
        <v>0</v>
      </c>
      <c r="J102" s="97">
        <f>DATE(S_An,1,1)+72</f>
        <v>46095.0</v>
      </c>
      <c r="K102" s="93">
        <f>SUMIFS(D_CO2,D_Jour,J102)</f>
        <v>0</v>
      </c>
    </row>
    <row r="103">
      <c r="B103" s="89" t="str">
        <f>IF(Calcul!B103="","",Calcul!B103)</f>
        <v/>
      </c>
      <c r="C103" s="93">
        <f>IF(B103="",0,SUMIFS(D_CO2,D_Grp,B103,D_An,S_An))</f>
        <v>0</v>
      </c>
      <c r="D103" s="93">
        <f>IF(B103="",0,SUMIFS(D_kWh,D_Grp,B103,D_An,S_An))</f>
        <v>0</v>
      </c>
      <c r="E103" s="90">
        <f>IF(B103="",0,SUMIFS(D_TO,D_Grp,B103,D_An,S_An))</f>
        <v>0</v>
      </c>
      <c r="F103" s="105">
        <f>IF(B103="",0,SUMIFS(D_Brut,D_Grp,B103,D_An,S_An))</f>
        <v>0</v>
      </c>
      <c r="G103" s="107">
        <f>IF(B103="",-1,C103)-ROW()*1E-12</f>
        <v>-1.000000000103</v>
      </c>
      <c r="H103" s="90">
        <f>IF(B103="",0,SUMIFS(D_TO,D_Grp,B103))</f>
        <v>0</v>
      </c>
      <c r="J103" s="97">
        <f>DATE(S_An,1,1)+73</f>
        <v>46096.0</v>
      </c>
      <c r="K103" s="93">
        <f>SUMIFS(D_CO2,D_Jour,J103)</f>
        <v>0</v>
      </c>
    </row>
    <row r="104">
      <c r="B104" s="89" t="str">
        <f>IF(Calcul!B104="","",Calcul!B104)</f>
        <v/>
      </c>
      <c r="C104" s="93">
        <f>IF(B104="",0,SUMIFS(D_CO2,D_Grp,B104,D_An,S_An))</f>
        <v>0</v>
      </c>
      <c r="D104" s="93">
        <f>IF(B104="",0,SUMIFS(D_kWh,D_Grp,B104,D_An,S_An))</f>
        <v>0</v>
      </c>
      <c r="E104" s="90">
        <f>IF(B104="",0,SUMIFS(D_TO,D_Grp,B104,D_An,S_An))</f>
        <v>0</v>
      </c>
      <c r="F104" s="105">
        <f>IF(B104="",0,SUMIFS(D_Brut,D_Grp,B104,D_An,S_An))</f>
        <v>0</v>
      </c>
      <c r="G104" s="107">
        <f>IF(B104="",-1,C104)-ROW()*1E-12</f>
        <v>-1.000000000104</v>
      </c>
      <c r="H104" s="90">
        <f>IF(B104="",0,SUMIFS(D_TO,D_Grp,B104))</f>
        <v>0</v>
      </c>
      <c r="J104" s="97">
        <f>DATE(S_An,1,1)+74</f>
        <v>46097.0</v>
      </c>
      <c r="K104" s="93">
        <f>SUMIFS(D_CO2,D_Jour,J104)</f>
        <v>0</v>
      </c>
    </row>
    <row r="105">
      <c r="B105" s="89" t="str">
        <f>IF(Calcul!B105="","",Calcul!B105)</f>
        <v/>
      </c>
      <c r="C105" s="93">
        <f>IF(B105="",0,SUMIFS(D_CO2,D_Grp,B105,D_An,S_An))</f>
        <v>0</v>
      </c>
      <c r="D105" s="93">
        <f>IF(B105="",0,SUMIFS(D_kWh,D_Grp,B105,D_An,S_An))</f>
        <v>0</v>
      </c>
      <c r="E105" s="90">
        <f>IF(B105="",0,SUMIFS(D_TO,D_Grp,B105,D_An,S_An))</f>
        <v>0</v>
      </c>
      <c r="F105" s="105">
        <f>IF(B105="",0,SUMIFS(D_Brut,D_Grp,B105,D_An,S_An))</f>
        <v>0</v>
      </c>
      <c r="G105" s="107">
        <f>IF(B105="",-1,C105)-ROW()*1E-12</f>
        <v>-1.000000000105</v>
      </c>
      <c r="H105" s="90">
        <f>IF(B105="",0,SUMIFS(D_TO,D_Grp,B105))</f>
        <v>0</v>
      </c>
      <c r="J105" s="97">
        <f>DATE(S_An,1,1)+75</f>
        <v>46098.0</v>
      </c>
      <c r="K105" s="93">
        <f>SUMIFS(D_CO2,D_Jour,J105)</f>
        <v>0</v>
      </c>
    </row>
    <row r="106">
      <c r="B106" s="89" t="str">
        <f>IF(Calcul!B106="","",Calcul!B106)</f>
        <v/>
      </c>
      <c r="C106" s="93">
        <f>IF(B106="",0,SUMIFS(D_CO2,D_Grp,B106,D_An,S_An))</f>
        <v>0</v>
      </c>
      <c r="D106" s="93">
        <f>IF(B106="",0,SUMIFS(D_kWh,D_Grp,B106,D_An,S_An))</f>
        <v>0</v>
      </c>
      <c r="E106" s="90">
        <f>IF(B106="",0,SUMIFS(D_TO,D_Grp,B106,D_An,S_An))</f>
        <v>0</v>
      </c>
      <c r="F106" s="105">
        <f>IF(B106="",0,SUMIFS(D_Brut,D_Grp,B106,D_An,S_An))</f>
        <v>0</v>
      </c>
      <c r="G106" s="107">
        <f>IF(B106="",-1,C106)-ROW()*1E-12</f>
        <v>-1.000000000106</v>
      </c>
      <c r="H106" s="90">
        <f>IF(B106="",0,SUMIFS(D_TO,D_Grp,B106))</f>
        <v>0</v>
      </c>
      <c r="J106" s="97">
        <f>DATE(S_An,1,1)+76</f>
        <v>46099.0</v>
      </c>
      <c r="K106" s="93">
        <f>SUMIFS(D_CO2,D_Jour,J106)</f>
        <v>0</v>
      </c>
    </row>
    <row r="107">
      <c r="B107" s="89" t="str">
        <f>IF(Calcul!B107="","",Calcul!B107)</f>
        <v/>
      </c>
      <c r="C107" s="93">
        <f>IF(B107="",0,SUMIFS(D_CO2,D_Grp,B107,D_An,S_An))</f>
        <v>0</v>
      </c>
      <c r="D107" s="93">
        <f>IF(B107="",0,SUMIFS(D_kWh,D_Grp,B107,D_An,S_An))</f>
        <v>0</v>
      </c>
      <c r="E107" s="90">
        <f>IF(B107="",0,SUMIFS(D_TO,D_Grp,B107,D_An,S_An))</f>
        <v>0</v>
      </c>
      <c r="F107" s="105">
        <f>IF(B107="",0,SUMIFS(D_Brut,D_Grp,B107,D_An,S_An))</f>
        <v>0</v>
      </c>
      <c r="G107" s="107">
        <f>IF(B107="",-1,C107)-ROW()*1E-12</f>
        <v>-1.000000000107</v>
      </c>
      <c r="H107" s="90">
        <f>IF(B107="",0,SUMIFS(D_TO,D_Grp,B107))</f>
        <v>0</v>
      </c>
      <c r="J107" s="97">
        <f>DATE(S_An,1,1)+77</f>
        <v>46100.0</v>
      </c>
      <c r="K107" s="93">
        <f>SUMIFS(D_CO2,D_Jour,J107)</f>
        <v>0</v>
      </c>
    </row>
    <row r="108">
      <c r="B108" s="89" t="str">
        <f>IF(Calcul!B108="","",Calcul!B108)</f>
        <v/>
      </c>
      <c r="C108" s="93">
        <f>IF(B108="",0,SUMIFS(D_CO2,D_Grp,B108,D_An,S_An))</f>
        <v>0</v>
      </c>
      <c r="D108" s="93">
        <f>IF(B108="",0,SUMIFS(D_kWh,D_Grp,B108,D_An,S_An))</f>
        <v>0</v>
      </c>
      <c r="E108" s="90">
        <f>IF(B108="",0,SUMIFS(D_TO,D_Grp,B108,D_An,S_An))</f>
        <v>0</v>
      </c>
      <c r="F108" s="105">
        <f>IF(B108="",0,SUMIFS(D_Brut,D_Grp,B108,D_An,S_An))</f>
        <v>0</v>
      </c>
      <c r="G108" s="107">
        <f>IF(B108="",-1,C108)-ROW()*1E-12</f>
        <v>-1.000000000108</v>
      </c>
      <c r="H108" s="90">
        <f>IF(B108="",0,SUMIFS(D_TO,D_Grp,B108))</f>
        <v>0</v>
      </c>
      <c r="J108" s="97">
        <f>DATE(S_An,1,1)+78</f>
        <v>46101.0</v>
      </c>
      <c r="K108" s="93">
        <f>SUMIFS(D_CO2,D_Jour,J108)</f>
        <v>0</v>
      </c>
    </row>
    <row r="109">
      <c r="B109" s="89" t="str">
        <f>IF(Calcul!B109="","",Calcul!B109)</f>
        <v/>
      </c>
      <c r="C109" s="93">
        <f>IF(B109="",0,SUMIFS(D_CO2,D_Grp,B109,D_An,S_An))</f>
        <v>0</v>
      </c>
      <c r="D109" s="93">
        <f>IF(B109="",0,SUMIFS(D_kWh,D_Grp,B109,D_An,S_An))</f>
        <v>0</v>
      </c>
      <c r="E109" s="90">
        <f>IF(B109="",0,SUMIFS(D_TO,D_Grp,B109,D_An,S_An))</f>
        <v>0</v>
      </c>
      <c r="F109" s="105">
        <f>IF(B109="",0,SUMIFS(D_Brut,D_Grp,B109,D_An,S_An))</f>
        <v>0</v>
      </c>
      <c r="G109" s="107">
        <f>IF(B109="",-1,C109)-ROW()*1E-12</f>
        <v>-1.000000000109</v>
      </c>
      <c r="H109" s="90">
        <f>IF(B109="",0,SUMIFS(D_TO,D_Grp,B109))</f>
        <v>0</v>
      </c>
      <c r="J109" s="97">
        <f>DATE(S_An,1,1)+79</f>
        <v>46102.0</v>
      </c>
      <c r="K109" s="93">
        <f>SUMIFS(D_CO2,D_Jour,J109)</f>
        <v>0</v>
      </c>
    </row>
    <row r="110">
      <c r="B110" s="89" t="str">
        <f>IF(Calcul!B110="","",Calcul!B110)</f>
        <v/>
      </c>
      <c r="C110" s="93">
        <f>IF(B110="",0,SUMIFS(D_CO2,D_Grp,B110,D_An,S_An))</f>
        <v>0</v>
      </c>
      <c r="D110" s="93">
        <f>IF(B110="",0,SUMIFS(D_kWh,D_Grp,B110,D_An,S_An))</f>
        <v>0</v>
      </c>
      <c r="E110" s="90">
        <f>IF(B110="",0,SUMIFS(D_TO,D_Grp,B110,D_An,S_An))</f>
        <v>0</v>
      </c>
      <c r="F110" s="105">
        <f>IF(B110="",0,SUMIFS(D_Brut,D_Grp,B110,D_An,S_An))</f>
        <v>0</v>
      </c>
      <c r="G110" s="107">
        <f>IF(B110="",-1,C110)-ROW()*1E-12</f>
        <v>-1.00000000011</v>
      </c>
      <c r="H110" s="90">
        <f>IF(B110="",0,SUMIFS(D_TO,D_Grp,B110))</f>
        <v>0</v>
      </c>
      <c r="J110" s="97">
        <f>DATE(S_An,1,1)+80</f>
        <v>46103.0</v>
      </c>
      <c r="K110" s="93">
        <f>SUMIFS(D_CO2,D_Jour,J110)</f>
        <v>0</v>
      </c>
    </row>
    <row r="111">
      <c r="B111" s="89" t="str">
        <f>IF(Calcul!B111="","",Calcul!B111)</f>
        <v/>
      </c>
      <c r="C111" s="93">
        <f>IF(B111="",0,SUMIFS(D_CO2,D_Grp,B111,D_An,S_An))</f>
        <v>0</v>
      </c>
      <c r="D111" s="93">
        <f>IF(B111="",0,SUMIFS(D_kWh,D_Grp,B111,D_An,S_An))</f>
        <v>0</v>
      </c>
      <c r="E111" s="90">
        <f>IF(B111="",0,SUMIFS(D_TO,D_Grp,B111,D_An,S_An))</f>
        <v>0</v>
      </c>
      <c r="F111" s="105">
        <f>IF(B111="",0,SUMIFS(D_Brut,D_Grp,B111,D_An,S_An))</f>
        <v>0</v>
      </c>
      <c r="G111" s="107">
        <f>IF(B111="",-1,C111)-ROW()*1E-12</f>
        <v>-1.000000000111</v>
      </c>
      <c r="H111" s="90">
        <f>IF(B111="",0,SUMIFS(D_TO,D_Grp,B111))</f>
        <v>0</v>
      </c>
      <c r="J111" s="97">
        <f>DATE(S_An,1,1)+81</f>
        <v>46104.0</v>
      </c>
      <c r="K111" s="93">
        <f>SUMIFS(D_CO2,D_Jour,J111)</f>
        <v>0</v>
      </c>
    </row>
    <row r="112">
      <c r="B112" s="89" t="str">
        <f>IF(Calcul!B112="","",Calcul!B112)</f>
        <v/>
      </c>
      <c r="C112" s="93">
        <f>IF(B112="",0,SUMIFS(D_CO2,D_Grp,B112,D_An,S_An))</f>
        <v>0</v>
      </c>
      <c r="D112" s="93">
        <f>IF(B112="",0,SUMIFS(D_kWh,D_Grp,B112,D_An,S_An))</f>
        <v>0</v>
      </c>
      <c r="E112" s="90">
        <f>IF(B112="",0,SUMIFS(D_TO,D_Grp,B112,D_An,S_An))</f>
        <v>0</v>
      </c>
      <c r="F112" s="105">
        <f>IF(B112="",0,SUMIFS(D_Brut,D_Grp,B112,D_An,S_An))</f>
        <v>0</v>
      </c>
      <c r="G112" s="107">
        <f>IF(B112="",-1,C112)-ROW()*1E-12</f>
        <v>-1.000000000112</v>
      </c>
      <c r="H112" s="90">
        <f>IF(B112="",0,SUMIFS(D_TO,D_Grp,B112))</f>
        <v>0</v>
      </c>
      <c r="J112" s="97">
        <f>DATE(S_An,1,1)+82</f>
        <v>46105.0</v>
      </c>
      <c r="K112" s="93">
        <f>SUMIFS(D_CO2,D_Jour,J112)</f>
        <v>0</v>
      </c>
    </row>
    <row r="113">
      <c r="B113" s="89" t="str">
        <f>IF(Calcul!B113="","",Calcul!B113)</f>
        <v/>
      </c>
      <c r="C113" s="93">
        <f>IF(B113="",0,SUMIFS(D_CO2,D_Grp,B113,D_An,S_An))</f>
        <v>0</v>
      </c>
      <c r="D113" s="93">
        <f>IF(B113="",0,SUMIFS(D_kWh,D_Grp,B113,D_An,S_An))</f>
        <v>0</v>
      </c>
      <c r="E113" s="90">
        <f>IF(B113="",0,SUMIFS(D_TO,D_Grp,B113,D_An,S_An))</f>
        <v>0</v>
      </c>
      <c r="F113" s="105">
        <f>IF(B113="",0,SUMIFS(D_Brut,D_Grp,B113,D_An,S_An))</f>
        <v>0</v>
      </c>
      <c r="G113" s="107">
        <f>IF(B113="",-1,C113)-ROW()*1E-12</f>
        <v>-1.000000000113</v>
      </c>
      <c r="H113" s="90">
        <f>IF(B113="",0,SUMIFS(D_TO,D_Grp,B113))</f>
        <v>0</v>
      </c>
      <c r="J113" s="97">
        <f>DATE(S_An,1,1)+83</f>
        <v>46106.0</v>
      </c>
      <c r="K113" s="93">
        <f>SUMIFS(D_CO2,D_Jour,J113)</f>
        <v>0</v>
      </c>
    </row>
    <row r="114">
      <c r="B114" s="89" t="str">
        <f>IF(Calcul!B114="","",Calcul!B114)</f>
        <v/>
      </c>
      <c r="C114" s="93">
        <f>IF(B114="",0,SUMIFS(D_CO2,D_Grp,B114,D_An,S_An))</f>
        <v>0</v>
      </c>
      <c r="D114" s="93">
        <f>IF(B114="",0,SUMIFS(D_kWh,D_Grp,B114,D_An,S_An))</f>
        <v>0</v>
      </c>
      <c r="E114" s="90">
        <f>IF(B114="",0,SUMIFS(D_TO,D_Grp,B114,D_An,S_An))</f>
        <v>0</v>
      </c>
      <c r="F114" s="105">
        <f>IF(B114="",0,SUMIFS(D_Brut,D_Grp,B114,D_An,S_An))</f>
        <v>0</v>
      </c>
      <c r="G114" s="107">
        <f>IF(B114="",-1,C114)-ROW()*1E-12</f>
        <v>-1.000000000114</v>
      </c>
      <c r="H114" s="90">
        <f>IF(B114="",0,SUMIFS(D_TO,D_Grp,B114))</f>
        <v>0</v>
      </c>
      <c r="J114" s="97">
        <f>DATE(S_An,1,1)+84</f>
        <v>46107.0</v>
      </c>
      <c r="K114" s="93">
        <f>SUMIFS(D_CO2,D_Jour,J114)</f>
        <v>0</v>
      </c>
    </row>
    <row r="115">
      <c r="B115" s="89" t="str">
        <f>IF(Calcul!B115="","",Calcul!B115)</f>
        <v/>
      </c>
      <c r="C115" s="93">
        <f>IF(B115="",0,SUMIFS(D_CO2,D_Grp,B115,D_An,S_An))</f>
        <v>0</v>
      </c>
      <c r="D115" s="93">
        <f>IF(B115="",0,SUMIFS(D_kWh,D_Grp,B115,D_An,S_An))</f>
        <v>0</v>
      </c>
      <c r="E115" s="90">
        <f>IF(B115="",0,SUMIFS(D_TO,D_Grp,B115,D_An,S_An))</f>
        <v>0</v>
      </c>
      <c r="F115" s="105">
        <f>IF(B115="",0,SUMIFS(D_Brut,D_Grp,B115,D_An,S_An))</f>
        <v>0</v>
      </c>
      <c r="G115" s="107">
        <f>IF(B115="",-1,C115)-ROW()*1E-12</f>
        <v>-1.000000000115</v>
      </c>
      <c r="H115" s="90">
        <f>IF(B115="",0,SUMIFS(D_TO,D_Grp,B115))</f>
        <v>0</v>
      </c>
      <c r="J115" s="97">
        <f>DATE(S_An,1,1)+85</f>
        <v>46108.0</v>
      </c>
      <c r="K115" s="93">
        <f>SUMIFS(D_CO2,D_Jour,J115)</f>
        <v>0</v>
      </c>
    </row>
    <row r="116">
      <c r="B116" s="89" t="str">
        <f>IF(Calcul!B116="","",Calcul!B116)</f>
        <v/>
      </c>
      <c r="C116" s="93">
        <f>IF(B116="",0,SUMIFS(D_CO2,D_Grp,B116,D_An,S_An))</f>
        <v>0</v>
      </c>
      <c r="D116" s="93">
        <f>IF(B116="",0,SUMIFS(D_kWh,D_Grp,B116,D_An,S_An))</f>
        <v>0</v>
      </c>
      <c r="E116" s="90">
        <f>IF(B116="",0,SUMIFS(D_TO,D_Grp,B116,D_An,S_An))</f>
        <v>0</v>
      </c>
      <c r="F116" s="105">
        <f>IF(B116="",0,SUMIFS(D_Brut,D_Grp,B116,D_An,S_An))</f>
        <v>0</v>
      </c>
      <c r="G116" s="107">
        <f>IF(B116="",-1,C116)-ROW()*1E-12</f>
        <v>-1.000000000116</v>
      </c>
      <c r="H116" s="90">
        <f>IF(B116="",0,SUMIFS(D_TO,D_Grp,B116))</f>
        <v>0</v>
      </c>
      <c r="J116" s="97">
        <f>DATE(S_An,1,1)+86</f>
        <v>46109.0</v>
      </c>
      <c r="K116" s="93">
        <f>SUMIFS(D_CO2,D_Jour,J116)</f>
        <v>0</v>
      </c>
    </row>
    <row r="117">
      <c r="B117" s="89" t="str">
        <f>IF(Calcul!B117="","",Calcul!B117)</f>
        <v/>
      </c>
      <c r="C117" s="93">
        <f>IF(B117="",0,SUMIFS(D_CO2,D_Grp,B117,D_An,S_An))</f>
        <v>0</v>
      </c>
      <c r="D117" s="93">
        <f>IF(B117="",0,SUMIFS(D_kWh,D_Grp,B117,D_An,S_An))</f>
        <v>0</v>
      </c>
      <c r="E117" s="90">
        <f>IF(B117="",0,SUMIFS(D_TO,D_Grp,B117,D_An,S_An))</f>
        <v>0</v>
      </c>
      <c r="F117" s="105">
        <f>IF(B117="",0,SUMIFS(D_Brut,D_Grp,B117,D_An,S_An))</f>
        <v>0</v>
      </c>
      <c r="G117" s="107">
        <f>IF(B117="",-1,C117)-ROW()*1E-12</f>
        <v>-1.000000000117</v>
      </c>
      <c r="H117" s="90">
        <f>IF(B117="",0,SUMIFS(D_TO,D_Grp,B117))</f>
        <v>0</v>
      </c>
      <c r="J117" s="97">
        <f>DATE(S_An,1,1)+87</f>
        <v>46110.0</v>
      </c>
      <c r="K117" s="93">
        <f>SUMIFS(D_CO2,D_Jour,J117)</f>
        <v>0</v>
      </c>
    </row>
    <row r="118">
      <c r="B118" s="89" t="str">
        <f>IF(Calcul!B118="","",Calcul!B118)</f>
        <v/>
      </c>
      <c r="C118" s="93">
        <f>IF(B118="",0,SUMIFS(D_CO2,D_Grp,B118,D_An,S_An))</f>
        <v>0</v>
      </c>
      <c r="D118" s="93">
        <f>IF(B118="",0,SUMIFS(D_kWh,D_Grp,B118,D_An,S_An))</f>
        <v>0</v>
      </c>
      <c r="E118" s="90">
        <f>IF(B118="",0,SUMIFS(D_TO,D_Grp,B118,D_An,S_An))</f>
        <v>0</v>
      </c>
      <c r="F118" s="105">
        <f>IF(B118="",0,SUMIFS(D_Brut,D_Grp,B118,D_An,S_An))</f>
        <v>0</v>
      </c>
      <c r="G118" s="107">
        <f>IF(B118="",-1,C118)-ROW()*1E-12</f>
        <v>-1.000000000118</v>
      </c>
      <c r="H118" s="90">
        <f>IF(B118="",0,SUMIFS(D_TO,D_Grp,B118))</f>
        <v>0</v>
      </c>
      <c r="J118" s="97">
        <f>DATE(S_An,1,1)+88</f>
        <v>46111.0</v>
      </c>
      <c r="K118" s="93">
        <f>SUMIFS(D_CO2,D_Jour,J118)</f>
        <v>0</v>
      </c>
    </row>
    <row r="119">
      <c r="J119" s="97">
        <f>DATE(S_An,1,1)+89</f>
        <v>46112.0</v>
      </c>
      <c r="K119" s="93">
        <f>SUMIFS(D_CO2,D_Jour,J119)</f>
        <v>0</v>
      </c>
    </row>
    <row r="120">
      <c r="J120" s="97">
        <f>DATE(S_An,1,1)+90</f>
        <v>46113.0</v>
      </c>
      <c r="K120" s="93">
        <f>SUMIFS(D_CO2,D_Jour,J120)</f>
        <v>0</v>
      </c>
    </row>
    <row r="121">
      <c r="J121" s="97">
        <f>DATE(S_An,1,1)+91</f>
        <v>46114.0</v>
      </c>
      <c r="K121" s="93">
        <f>SUMIFS(D_CO2,D_Jour,J121)</f>
        <v>0</v>
      </c>
    </row>
    <row r="122">
      <c r="J122" s="97">
        <f>DATE(S_An,1,1)+92</f>
        <v>46115.0</v>
      </c>
      <c r="K122" s="93">
        <f>SUMIFS(D_CO2,D_Jour,J122)</f>
        <v>0</v>
      </c>
    </row>
    <row r="123">
      <c r="J123" s="97">
        <f>DATE(S_An,1,1)+93</f>
        <v>46116.0</v>
      </c>
      <c r="K123" s="93">
        <f>SUMIFS(D_CO2,D_Jour,J123)</f>
        <v>0</v>
      </c>
    </row>
    <row r="124">
      <c r="J124" s="97">
        <f>DATE(S_An,1,1)+94</f>
        <v>46117.0</v>
      </c>
      <c r="K124" s="93">
        <f>SUMIFS(D_CO2,D_Jour,J124)</f>
        <v>0</v>
      </c>
    </row>
    <row r="125">
      <c r="J125" s="97">
        <f>DATE(S_An,1,1)+95</f>
        <v>46118.0</v>
      </c>
      <c r="K125" s="93">
        <f>SUMIFS(D_CO2,D_Jour,J125)</f>
        <v>0</v>
      </c>
    </row>
    <row r="126">
      <c r="J126" s="97">
        <f>DATE(S_An,1,1)+96</f>
        <v>46119.0</v>
      </c>
      <c r="K126" s="93">
        <f>SUMIFS(D_CO2,D_Jour,J126)</f>
        <v>0</v>
      </c>
    </row>
    <row r="127">
      <c r="J127" s="97">
        <f>DATE(S_An,1,1)+97</f>
        <v>46120.0</v>
      </c>
      <c r="K127" s="93">
        <f>SUMIFS(D_CO2,D_Jour,J127)</f>
        <v>0</v>
      </c>
    </row>
    <row r="128">
      <c r="J128" s="97">
        <f>DATE(S_An,1,1)+98</f>
        <v>46121.0</v>
      </c>
      <c r="K128" s="93">
        <f>SUMIFS(D_CO2,D_Jour,J128)</f>
        <v>0</v>
      </c>
    </row>
    <row r="129">
      <c r="J129" s="97">
        <f>DATE(S_An,1,1)+99</f>
        <v>46122.0</v>
      </c>
      <c r="K129" s="93">
        <f>SUMIFS(D_CO2,D_Jour,J129)</f>
        <v>0</v>
      </c>
    </row>
    <row r="130">
      <c r="J130" s="97">
        <f>DATE(S_An,1,1)+100</f>
        <v>46123.0</v>
      </c>
      <c r="K130" s="93">
        <f>SUMIFS(D_CO2,D_Jour,J130)</f>
        <v>0</v>
      </c>
    </row>
    <row r="131">
      <c r="J131" s="97">
        <f>DATE(S_An,1,1)+101</f>
        <v>46124.0</v>
      </c>
      <c r="K131" s="93">
        <f>SUMIFS(D_CO2,D_Jour,J131)</f>
        <v>0</v>
      </c>
    </row>
    <row r="132">
      <c r="J132" s="97">
        <f>DATE(S_An,1,1)+102</f>
        <v>46125.0</v>
      </c>
      <c r="K132" s="93">
        <f>SUMIFS(D_CO2,D_Jour,J132)</f>
        <v>0</v>
      </c>
    </row>
    <row r="133">
      <c r="J133" s="97">
        <f>DATE(S_An,1,1)+103</f>
        <v>46126.0</v>
      </c>
      <c r="K133" s="93">
        <f>SUMIFS(D_CO2,D_Jour,J133)</f>
        <v>0</v>
      </c>
    </row>
    <row r="134">
      <c r="J134" s="97">
        <f>DATE(S_An,1,1)+104</f>
        <v>46127.0</v>
      </c>
      <c r="K134" s="93">
        <f>SUMIFS(D_CO2,D_Jour,J134)</f>
        <v>0</v>
      </c>
    </row>
    <row r="135">
      <c r="J135" s="97">
        <f>DATE(S_An,1,1)+105</f>
        <v>46128.0</v>
      </c>
      <c r="K135" s="93">
        <f>SUMIFS(D_CO2,D_Jour,J135)</f>
        <v>0</v>
      </c>
    </row>
    <row r="136">
      <c r="J136" s="97">
        <f>DATE(S_An,1,1)+106</f>
        <v>46129.0</v>
      </c>
      <c r="K136" s="93">
        <f>SUMIFS(D_CO2,D_Jour,J136)</f>
        <v>0</v>
      </c>
    </row>
    <row r="137">
      <c r="J137" s="97">
        <f>DATE(S_An,1,1)+107</f>
        <v>46130.0</v>
      </c>
      <c r="K137" s="93">
        <f>SUMIFS(D_CO2,D_Jour,J137)</f>
        <v>0</v>
      </c>
    </row>
    <row r="138">
      <c r="J138" s="97">
        <f>DATE(S_An,1,1)+108</f>
        <v>46131.0</v>
      </c>
      <c r="K138" s="93">
        <f>SUMIFS(D_CO2,D_Jour,J138)</f>
        <v>0</v>
      </c>
    </row>
    <row r="139">
      <c r="J139" s="97">
        <f>DATE(S_An,1,1)+109</f>
        <v>46132.0</v>
      </c>
      <c r="K139" s="93">
        <f>SUMIFS(D_CO2,D_Jour,J139)</f>
        <v>0</v>
      </c>
    </row>
    <row r="140">
      <c r="J140" s="97">
        <f>DATE(S_An,1,1)+110</f>
        <v>46133.0</v>
      </c>
      <c r="K140" s="93">
        <f>SUMIFS(D_CO2,D_Jour,J140)</f>
        <v>0</v>
      </c>
    </row>
    <row r="141">
      <c r="J141" s="97">
        <f>DATE(S_An,1,1)+111</f>
        <v>46134.0</v>
      </c>
      <c r="K141" s="93">
        <f>SUMIFS(D_CO2,D_Jour,J141)</f>
        <v>0</v>
      </c>
    </row>
    <row r="142">
      <c r="J142" s="97">
        <f>DATE(S_An,1,1)+112</f>
        <v>46135.0</v>
      </c>
      <c r="K142" s="93">
        <f>SUMIFS(D_CO2,D_Jour,J142)</f>
        <v>0</v>
      </c>
    </row>
    <row r="143">
      <c r="J143" s="97">
        <f>DATE(S_An,1,1)+113</f>
        <v>46136.0</v>
      </c>
      <c r="K143" s="93">
        <f>SUMIFS(D_CO2,D_Jour,J143)</f>
        <v>0</v>
      </c>
    </row>
    <row r="144">
      <c r="J144" s="97">
        <f>DATE(S_An,1,1)+114</f>
        <v>46137.0</v>
      </c>
      <c r="K144" s="93">
        <f>SUMIFS(D_CO2,D_Jour,J144)</f>
        <v>0</v>
      </c>
    </row>
    <row r="145">
      <c r="J145" s="97">
        <f>DATE(S_An,1,1)+115</f>
        <v>46138.0</v>
      </c>
      <c r="K145" s="93">
        <f>SUMIFS(D_CO2,D_Jour,J145)</f>
        <v>0</v>
      </c>
    </row>
    <row r="146">
      <c r="J146" s="97">
        <f>DATE(S_An,1,1)+116</f>
        <v>46139.0</v>
      </c>
      <c r="K146" s="93">
        <f>SUMIFS(D_CO2,D_Jour,J146)</f>
        <v>0</v>
      </c>
    </row>
    <row r="147">
      <c r="J147" s="97">
        <f>DATE(S_An,1,1)+117</f>
        <v>46140.0</v>
      </c>
      <c r="K147" s="93">
        <f>SUMIFS(D_CO2,D_Jour,J147)</f>
        <v>0</v>
      </c>
    </row>
    <row r="148">
      <c r="J148" s="97">
        <f>DATE(S_An,1,1)+118</f>
        <v>46141.0</v>
      </c>
      <c r="K148" s="93">
        <f>SUMIFS(D_CO2,D_Jour,J148)</f>
        <v>0</v>
      </c>
    </row>
    <row r="149">
      <c r="J149" s="97">
        <f>DATE(S_An,1,1)+119</f>
        <v>46142.0</v>
      </c>
      <c r="K149" s="93">
        <f>SUMIFS(D_CO2,D_Jour,J149)</f>
        <v>0</v>
      </c>
    </row>
    <row r="150">
      <c r="J150" s="97">
        <f>DATE(S_An,1,1)+120</f>
        <v>46143.0</v>
      </c>
      <c r="K150" s="93">
        <f>SUMIFS(D_CO2,D_Jour,J150)</f>
        <v>0</v>
      </c>
    </row>
    <row r="151">
      <c r="J151" s="97">
        <f>DATE(S_An,1,1)+121</f>
        <v>46144.0</v>
      </c>
      <c r="K151" s="93">
        <f>SUMIFS(D_CO2,D_Jour,J151)</f>
        <v>0</v>
      </c>
    </row>
    <row r="152">
      <c r="J152" s="97">
        <f>DATE(S_An,1,1)+122</f>
        <v>46145.0</v>
      </c>
      <c r="K152" s="93">
        <f>SUMIFS(D_CO2,D_Jour,J152)</f>
        <v>0</v>
      </c>
    </row>
    <row r="153">
      <c r="J153" s="97">
        <f>DATE(S_An,1,1)+123</f>
        <v>46146.0</v>
      </c>
      <c r="K153" s="93">
        <f>SUMIFS(D_CO2,D_Jour,J153)</f>
        <v>0</v>
      </c>
    </row>
    <row r="154">
      <c r="J154" s="97">
        <f>DATE(S_An,1,1)+124</f>
        <v>46147.0</v>
      </c>
      <c r="K154" s="93">
        <f>SUMIFS(D_CO2,D_Jour,J154)</f>
        <v>0</v>
      </c>
    </row>
    <row r="155">
      <c r="J155" s="97">
        <f>DATE(S_An,1,1)+125</f>
        <v>46148.0</v>
      </c>
      <c r="K155" s="93">
        <f>SUMIFS(D_CO2,D_Jour,J155)</f>
        <v>0</v>
      </c>
    </row>
    <row r="156">
      <c r="J156" s="97">
        <f>DATE(S_An,1,1)+126</f>
        <v>46149.0</v>
      </c>
      <c r="K156" s="93">
        <f>SUMIFS(D_CO2,D_Jour,J156)</f>
        <v>0</v>
      </c>
    </row>
    <row r="157">
      <c r="J157" s="97">
        <f>DATE(S_An,1,1)+127</f>
        <v>46150.0</v>
      </c>
      <c r="K157" s="93">
        <f>SUMIFS(D_CO2,D_Jour,J157)</f>
        <v>0</v>
      </c>
    </row>
    <row r="158">
      <c r="J158" s="97">
        <f>DATE(S_An,1,1)+128</f>
        <v>46151.0</v>
      </c>
      <c r="K158" s="93">
        <f>SUMIFS(D_CO2,D_Jour,J158)</f>
        <v>0</v>
      </c>
    </row>
    <row r="159">
      <c r="J159" s="97">
        <f>DATE(S_An,1,1)+129</f>
        <v>46152.0</v>
      </c>
      <c r="K159" s="93">
        <f>SUMIFS(D_CO2,D_Jour,J159)</f>
        <v>0</v>
      </c>
    </row>
    <row r="160">
      <c r="J160" s="97">
        <f>DATE(S_An,1,1)+130</f>
        <v>46153.0</v>
      </c>
      <c r="K160" s="93">
        <f>SUMIFS(D_CO2,D_Jour,J160)</f>
        <v>0</v>
      </c>
    </row>
    <row r="161">
      <c r="J161" s="97">
        <f>DATE(S_An,1,1)+131</f>
        <v>46154.0</v>
      </c>
      <c r="K161" s="93">
        <f>SUMIFS(D_CO2,D_Jour,J161)</f>
        <v>0</v>
      </c>
    </row>
    <row r="162">
      <c r="J162" s="97">
        <f>DATE(S_An,1,1)+132</f>
        <v>46155.0</v>
      </c>
      <c r="K162" s="93">
        <f>SUMIFS(D_CO2,D_Jour,J162)</f>
        <v>0</v>
      </c>
    </row>
    <row r="163">
      <c r="J163" s="97">
        <f>DATE(S_An,1,1)+133</f>
        <v>46156.0</v>
      </c>
      <c r="K163" s="93">
        <f>SUMIFS(D_CO2,D_Jour,J163)</f>
        <v>0</v>
      </c>
    </row>
    <row r="164">
      <c r="J164" s="97">
        <f>DATE(S_An,1,1)+134</f>
        <v>46157.0</v>
      </c>
      <c r="K164" s="93">
        <f>SUMIFS(D_CO2,D_Jour,J164)</f>
        <v>0</v>
      </c>
    </row>
    <row r="165">
      <c r="J165" s="97">
        <f>DATE(S_An,1,1)+135</f>
        <v>46158.0</v>
      </c>
      <c r="K165" s="93">
        <f>SUMIFS(D_CO2,D_Jour,J165)</f>
        <v>0</v>
      </c>
    </row>
    <row r="166">
      <c r="J166" s="97">
        <f>DATE(S_An,1,1)+136</f>
        <v>46159.0</v>
      </c>
      <c r="K166" s="93">
        <f>SUMIFS(D_CO2,D_Jour,J166)</f>
        <v>0</v>
      </c>
    </row>
    <row r="167">
      <c r="J167" s="97">
        <f>DATE(S_An,1,1)+137</f>
        <v>46160.0</v>
      </c>
      <c r="K167" s="93">
        <f>SUMIFS(D_CO2,D_Jour,J167)</f>
        <v>0</v>
      </c>
    </row>
    <row r="168">
      <c r="J168" s="97">
        <f>DATE(S_An,1,1)+138</f>
        <v>46161.0</v>
      </c>
      <c r="K168" s="93">
        <f>SUMIFS(D_CO2,D_Jour,J168)</f>
        <v>0</v>
      </c>
    </row>
    <row r="169">
      <c r="J169" s="97">
        <f>DATE(S_An,1,1)+139</f>
        <v>46162.0</v>
      </c>
      <c r="K169" s="93">
        <f>SUMIFS(D_CO2,D_Jour,J169)</f>
        <v>0</v>
      </c>
    </row>
    <row r="170">
      <c r="J170" s="97">
        <f>DATE(S_An,1,1)+140</f>
        <v>46163.0</v>
      </c>
      <c r="K170" s="93">
        <f>SUMIFS(D_CO2,D_Jour,J170)</f>
        <v>0</v>
      </c>
    </row>
    <row r="171">
      <c r="J171" s="97">
        <f>DATE(S_An,1,1)+141</f>
        <v>46164.0</v>
      </c>
      <c r="K171" s="93">
        <f>SUMIFS(D_CO2,D_Jour,J171)</f>
        <v>0</v>
      </c>
    </row>
    <row r="172">
      <c r="J172" s="97">
        <f>DATE(S_An,1,1)+142</f>
        <v>46165.0</v>
      </c>
      <c r="K172" s="93">
        <f>SUMIFS(D_CO2,D_Jour,J172)</f>
        <v>0</v>
      </c>
    </row>
    <row r="173">
      <c r="J173" s="97">
        <f>DATE(S_An,1,1)+143</f>
        <v>46166.0</v>
      </c>
      <c r="K173" s="93">
        <f>SUMIFS(D_CO2,D_Jour,J173)</f>
        <v>0</v>
      </c>
    </row>
    <row r="174">
      <c r="J174" s="97">
        <f>DATE(S_An,1,1)+144</f>
        <v>46167.0</v>
      </c>
      <c r="K174" s="93">
        <f>SUMIFS(D_CO2,D_Jour,J174)</f>
        <v>0</v>
      </c>
    </row>
    <row r="175">
      <c r="J175" s="97">
        <f>DATE(S_An,1,1)+145</f>
        <v>46168.0</v>
      </c>
      <c r="K175" s="93">
        <f>SUMIFS(D_CO2,D_Jour,J175)</f>
        <v>0</v>
      </c>
    </row>
    <row r="176">
      <c r="J176" s="97">
        <f>DATE(S_An,1,1)+146</f>
        <v>46169.0</v>
      </c>
      <c r="K176" s="93">
        <f>SUMIFS(D_CO2,D_Jour,J176)</f>
        <v>0</v>
      </c>
    </row>
    <row r="177">
      <c r="J177" s="97">
        <f>DATE(S_An,1,1)+147</f>
        <v>46170.0</v>
      </c>
      <c r="K177" s="93">
        <f>SUMIFS(D_CO2,D_Jour,J177)</f>
        <v>0</v>
      </c>
    </row>
    <row r="178">
      <c r="J178" s="97">
        <f>DATE(S_An,1,1)+148</f>
        <v>46171.0</v>
      </c>
      <c r="K178" s="93">
        <f>SUMIFS(D_CO2,D_Jour,J178)</f>
        <v>0</v>
      </c>
    </row>
    <row r="179">
      <c r="J179" s="97">
        <f>DATE(S_An,1,1)+149</f>
        <v>46172.0</v>
      </c>
      <c r="K179" s="93">
        <f>SUMIFS(D_CO2,D_Jour,J179)</f>
        <v>0</v>
      </c>
    </row>
    <row r="180">
      <c r="J180" s="97">
        <f>DATE(S_An,1,1)+150</f>
        <v>46173.0</v>
      </c>
      <c r="K180" s="93">
        <f>SUMIFS(D_CO2,D_Jour,J180)</f>
        <v>0</v>
      </c>
    </row>
    <row r="181">
      <c r="J181" s="97">
        <f>DATE(S_An,1,1)+151</f>
        <v>46174.0</v>
      </c>
      <c r="K181" s="93">
        <f>SUMIFS(D_CO2,D_Jour,J181)</f>
        <v>0</v>
      </c>
    </row>
    <row r="182">
      <c r="J182" s="97">
        <f>DATE(S_An,1,1)+152</f>
        <v>46175.0</v>
      </c>
      <c r="K182" s="93">
        <f>SUMIFS(D_CO2,D_Jour,J182)</f>
        <v>0</v>
      </c>
    </row>
    <row r="183">
      <c r="J183" s="97">
        <f>DATE(S_An,1,1)+153</f>
        <v>46176.0</v>
      </c>
      <c r="K183" s="93">
        <f>SUMIFS(D_CO2,D_Jour,J183)</f>
        <v>0</v>
      </c>
    </row>
    <row r="184">
      <c r="J184" s="97">
        <f>DATE(S_An,1,1)+154</f>
        <v>46177.0</v>
      </c>
      <c r="K184" s="93">
        <f>SUMIFS(D_CO2,D_Jour,J184)</f>
        <v>0</v>
      </c>
    </row>
    <row r="185">
      <c r="J185" s="97">
        <f>DATE(S_An,1,1)+155</f>
        <v>46178.0</v>
      </c>
      <c r="K185" s="93">
        <f>SUMIFS(D_CO2,D_Jour,J185)</f>
        <v>0</v>
      </c>
    </row>
    <row r="186">
      <c r="J186" s="97">
        <f>DATE(S_An,1,1)+156</f>
        <v>46179.0</v>
      </c>
      <c r="K186" s="93">
        <f>SUMIFS(D_CO2,D_Jour,J186)</f>
        <v>0</v>
      </c>
    </row>
    <row r="187">
      <c r="J187" s="97">
        <f>DATE(S_An,1,1)+157</f>
        <v>46180.0</v>
      </c>
      <c r="K187" s="93">
        <f>SUMIFS(D_CO2,D_Jour,J187)</f>
        <v>0</v>
      </c>
    </row>
    <row r="188">
      <c r="J188" s="97">
        <f>DATE(S_An,1,1)+158</f>
        <v>46181.0</v>
      </c>
      <c r="K188" s="93">
        <f>SUMIFS(D_CO2,D_Jour,J188)</f>
        <v>0</v>
      </c>
    </row>
    <row r="189">
      <c r="J189" s="97">
        <f>DATE(S_An,1,1)+159</f>
        <v>46182.0</v>
      </c>
      <c r="K189" s="93">
        <f>SUMIFS(D_CO2,D_Jour,J189)</f>
        <v>0</v>
      </c>
    </row>
    <row r="190">
      <c r="J190" s="97">
        <f>DATE(S_An,1,1)+160</f>
        <v>46183.0</v>
      </c>
      <c r="K190" s="93">
        <f>SUMIFS(D_CO2,D_Jour,J190)</f>
        <v>0</v>
      </c>
    </row>
    <row r="191">
      <c r="J191" s="97">
        <f>DATE(S_An,1,1)+161</f>
        <v>46184.0</v>
      </c>
      <c r="K191" s="93">
        <f>SUMIFS(D_CO2,D_Jour,J191)</f>
        <v>0</v>
      </c>
    </row>
    <row r="192">
      <c r="J192" s="97">
        <f>DATE(S_An,1,1)+162</f>
        <v>46185.0</v>
      </c>
      <c r="K192" s="93">
        <f>SUMIFS(D_CO2,D_Jour,J192)</f>
        <v>0</v>
      </c>
    </row>
    <row r="193">
      <c r="J193" s="97">
        <f>DATE(S_An,1,1)+163</f>
        <v>46186.0</v>
      </c>
      <c r="K193" s="93">
        <f>SUMIFS(D_CO2,D_Jour,J193)</f>
        <v>0</v>
      </c>
    </row>
    <row r="194">
      <c r="J194" s="97">
        <f>DATE(S_An,1,1)+164</f>
        <v>46187.0</v>
      </c>
      <c r="K194" s="93">
        <f>SUMIFS(D_CO2,D_Jour,J194)</f>
        <v>0</v>
      </c>
    </row>
    <row r="195">
      <c r="J195" s="97">
        <f>DATE(S_An,1,1)+165</f>
        <v>46188.0</v>
      </c>
      <c r="K195" s="93">
        <f>SUMIFS(D_CO2,D_Jour,J195)</f>
        <v>0</v>
      </c>
    </row>
    <row r="196">
      <c r="J196" s="97">
        <f>DATE(S_An,1,1)+166</f>
        <v>46189.0</v>
      </c>
      <c r="K196" s="93">
        <f>SUMIFS(D_CO2,D_Jour,J196)</f>
        <v>0</v>
      </c>
    </row>
    <row r="197">
      <c r="J197" s="97">
        <f>DATE(S_An,1,1)+167</f>
        <v>46190.0</v>
      </c>
      <c r="K197" s="93">
        <f>SUMIFS(D_CO2,D_Jour,J197)</f>
        <v>0</v>
      </c>
    </row>
    <row r="198">
      <c r="J198" s="97">
        <f>DATE(S_An,1,1)+168</f>
        <v>46191.0</v>
      </c>
      <c r="K198" s="93">
        <f>SUMIFS(D_CO2,D_Jour,J198)</f>
        <v>0</v>
      </c>
    </row>
    <row r="199">
      <c r="J199" s="97">
        <f>DATE(S_An,1,1)+169</f>
        <v>46192.0</v>
      </c>
      <c r="K199" s="93">
        <f>SUMIFS(D_CO2,D_Jour,J199)</f>
        <v>0</v>
      </c>
    </row>
    <row r="200">
      <c r="J200" s="97">
        <f>DATE(S_An,1,1)+170</f>
        <v>46193.0</v>
      </c>
      <c r="K200" s="93">
        <f>SUMIFS(D_CO2,D_Jour,J200)</f>
        <v>0</v>
      </c>
    </row>
    <row r="201">
      <c r="J201" s="97">
        <f>DATE(S_An,1,1)+171</f>
        <v>46194.0</v>
      </c>
      <c r="K201" s="93">
        <f>SUMIFS(D_CO2,D_Jour,J201)</f>
        <v>0</v>
      </c>
    </row>
    <row r="202">
      <c r="J202" s="97">
        <f>DATE(S_An,1,1)+172</f>
        <v>46195.0</v>
      </c>
      <c r="K202" s="93">
        <f>SUMIFS(D_CO2,D_Jour,J202)</f>
        <v>0</v>
      </c>
    </row>
    <row r="203">
      <c r="J203" s="97">
        <f>DATE(S_An,1,1)+173</f>
        <v>46196.0</v>
      </c>
      <c r="K203" s="93">
        <f>SUMIFS(D_CO2,D_Jour,J203)</f>
        <v>0</v>
      </c>
    </row>
    <row r="204">
      <c r="J204" s="97">
        <f>DATE(S_An,1,1)+174</f>
        <v>46197.0</v>
      </c>
      <c r="K204" s="93">
        <f>SUMIFS(D_CO2,D_Jour,J204)</f>
        <v>0</v>
      </c>
    </row>
    <row r="205">
      <c r="J205" s="97">
        <f>DATE(S_An,1,1)+175</f>
        <v>46198.0</v>
      </c>
      <c r="K205" s="93">
        <f>SUMIFS(D_CO2,D_Jour,J205)</f>
        <v>0</v>
      </c>
    </row>
    <row r="206">
      <c r="J206" s="97">
        <f>DATE(S_An,1,1)+176</f>
        <v>46199.0</v>
      </c>
      <c r="K206" s="93">
        <f>SUMIFS(D_CO2,D_Jour,J206)</f>
        <v>0</v>
      </c>
    </row>
    <row r="207">
      <c r="J207" s="97">
        <f>DATE(S_An,1,1)+177</f>
        <v>46200.0</v>
      </c>
      <c r="K207" s="93">
        <f>SUMIFS(D_CO2,D_Jour,J207)</f>
        <v>0</v>
      </c>
    </row>
    <row r="208">
      <c r="J208" s="97">
        <f>DATE(S_An,1,1)+178</f>
        <v>46201.0</v>
      </c>
      <c r="K208" s="93">
        <f>SUMIFS(D_CO2,D_Jour,J208)</f>
        <v>0</v>
      </c>
    </row>
    <row r="209">
      <c r="J209" s="97">
        <f>DATE(S_An,1,1)+179</f>
        <v>46202.0</v>
      </c>
      <c r="K209" s="93">
        <f>SUMIFS(D_CO2,D_Jour,J209)</f>
        <v>0</v>
      </c>
    </row>
    <row r="210">
      <c r="J210" s="97">
        <f>DATE(S_An,1,1)+180</f>
        <v>46203.0</v>
      </c>
      <c r="K210" s="93">
        <f>SUMIFS(D_CO2,D_Jour,J210)</f>
        <v>0</v>
      </c>
    </row>
    <row r="211">
      <c r="J211" s="97">
        <f>DATE(S_An,1,1)+181</f>
        <v>46204.0</v>
      </c>
      <c r="K211" s="93">
        <f>SUMIFS(D_CO2,D_Jour,J211)</f>
        <v>0</v>
      </c>
    </row>
    <row r="212">
      <c r="J212" s="97">
        <f>DATE(S_An,1,1)+182</f>
        <v>46205.0</v>
      </c>
      <c r="K212" s="93">
        <f>SUMIFS(D_CO2,D_Jour,J212)</f>
        <v>0</v>
      </c>
    </row>
    <row r="213">
      <c r="J213" s="97">
        <f>DATE(S_An,1,1)+183</f>
        <v>46206.0</v>
      </c>
      <c r="K213" s="93">
        <f>SUMIFS(D_CO2,D_Jour,J213)</f>
        <v>0</v>
      </c>
    </row>
    <row r="214">
      <c r="J214" s="97">
        <f>DATE(S_An,1,1)+184</f>
        <v>46207.0</v>
      </c>
      <c r="K214" s="93">
        <f>SUMIFS(D_CO2,D_Jour,J214)</f>
        <v>0</v>
      </c>
    </row>
    <row r="215">
      <c r="J215" s="97">
        <f>DATE(S_An,1,1)+185</f>
        <v>46208.0</v>
      </c>
      <c r="K215" s="93">
        <f>SUMIFS(D_CO2,D_Jour,J215)</f>
        <v>0</v>
      </c>
    </row>
    <row r="216">
      <c r="J216" s="97">
        <f>DATE(S_An,1,1)+186</f>
        <v>46209.0</v>
      </c>
      <c r="K216" s="93">
        <f>SUMIFS(D_CO2,D_Jour,J216)</f>
        <v>0</v>
      </c>
    </row>
    <row r="217">
      <c r="J217" s="97">
        <f>DATE(S_An,1,1)+187</f>
        <v>46210.0</v>
      </c>
      <c r="K217" s="93">
        <f>SUMIFS(D_CO2,D_Jour,J217)</f>
        <v>0</v>
      </c>
    </row>
    <row r="218">
      <c r="J218" s="97">
        <f>DATE(S_An,1,1)+188</f>
        <v>46211.0</v>
      </c>
      <c r="K218" s="93">
        <f>SUMIFS(D_CO2,D_Jour,J218)</f>
        <v>0</v>
      </c>
    </row>
    <row r="219">
      <c r="J219" s="97">
        <f>DATE(S_An,1,1)+189</f>
        <v>46212.0</v>
      </c>
      <c r="K219" s="93">
        <f>SUMIFS(D_CO2,D_Jour,J219)</f>
        <v>0</v>
      </c>
    </row>
    <row r="220">
      <c r="J220" s="97">
        <f>DATE(S_An,1,1)+190</f>
        <v>46213.0</v>
      </c>
      <c r="K220" s="93">
        <f>SUMIFS(D_CO2,D_Jour,J220)</f>
        <v>0</v>
      </c>
    </row>
    <row r="221">
      <c r="J221" s="97">
        <f>DATE(S_An,1,1)+191</f>
        <v>46214.0</v>
      </c>
      <c r="K221" s="93">
        <f>SUMIFS(D_CO2,D_Jour,J221)</f>
        <v>0</v>
      </c>
    </row>
    <row r="222">
      <c r="J222" s="97">
        <f>DATE(S_An,1,1)+192</f>
        <v>46215.0</v>
      </c>
      <c r="K222" s="93">
        <f>SUMIFS(D_CO2,D_Jour,J222)</f>
        <v>0</v>
      </c>
    </row>
    <row r="223">
      <c r="J223" s="97">
        <f>DATE(S_An,1,1)+193</f>
        <v>46216.0</v>
      </c>
      <c r="K223" s="93">
        <f>SUMIFS(D_CO2,D_Jour,J223)</f>
        <v>0</v>
      </c>
    </row>
    <row r="224">
      <c r="J224" s="97">
        <f>DATE(S_An,1,1)+194</f>
        <v>46217.0</v>
      </c>
      <c r="K224" s="93">
        <f>SUMIFS(D_CO2,D_Jour,J224)</f>
        <v>0</v>
      </c>
    </row>
    <row r="225">
      <c r="J225" s="97">
        <f>DATE(S_An,1,1)+195</f>
        <v>46218.0</v>
      </c>
      <c r="K225" s="93">
        <f>SUMIFS(D_CO2,D_Jour,J225)</f>
        <v>0</v>
      </c>
    </row>
    <row r="226">
      <c r="J226" s="97">
        <f>DATE(S_An,1,1)+196</f>
        <v>46219.0</v>
      </c>
      <c r="K226" s="93">
        <f>SUMIFS(D_CO2,D_Jour,J226)</f>
        <v>0</v>
      </c>
    </row>
    <row r="227">
      <c r="J227" s="97">
        <f>DATE(S_An,1,1)+197</f>
        <v>46220.0</v>
      </c>
      <c r="K227" s="93">
        <f>SUMIFS(D_CO2,D_Jour,J227)</f>
        <v>0</v>
      </c>
    </row>
    <row r="228">
      <c r="J228" s="97">
        <f>DATE(S_An,1,1)+198</f>
        <v>46221.0</v>
      </c>
      <c r="K228" s="93">
        <f>SUMIFS(D_CO2,D_Jour,J228)</f>
        <v>0</v>
      </c>
    </row>
    <row r="229">
      <c r="J229" s="97">
        <f>DATE(S_An,1,1)+199</f>
        <v>46222.0</v>
      </c>
      <c r="K229" s="93">
        <f>SUMIFS(D_CO2,D_Jour,J229)</f>
        <v>0</v>
      </c>
    </row>
    <row r="230">
      <c r="J230" s="97">
        <f>DATE(S_An,1,1)+200</f>
        <v>46223.0</v>
      </c>
      <c r="K230" s="93">
        <f>SUMIFS(D_CO2,D_Jour,J230)</f>
        <v>0</v>
      </c>
    </row>
    <row r="231">
      <c r="J231" s="97">
        <f>DATE(S_An,1,1)+201</f>
        <v>46224.0</v>
      </c>
      <c r="K231" s="93">
        <f>SUMIFS(D_CO2,D_Jour,J231)</f>
        <v>0</v>
      </c>
    </row>
    <row r="232">
      <c r="J232" s="97">
        <f>DATE(S_An,1,1)+202</f>
        <v>46225.0</v>
      </c>
      <c r="K232" s="93">
        <f>SUMIFS(D_CO2,D_Jour,J232)</f>
        <v>0</v>
      </c>
    </row>
    <row r="233">
      <c r="J233" s="97">
        <f>DATE(S_An,1,1)+203</f>
        <v>46226.0</v>
      </c>
      <c r="K233" s="93">
        <f>SUMIFS(D_CO2,D_Jour,J233)</f>
        <v>0</v>
      </c>
    </row>
    <row r="234">
      <c r="J234" s="97">
        <f>DATE(S_An,1,1)+204</f>
        <v>46227.0</v>
      </c>
      <c r="K234" s="93">
        <f>SUMIFS(D_CO2,D_Jour,J234)</f>
        <v>0</v>
      </c>
    </row>
    <row r="235">
      <c r="J235" s="97">
        <f>DATE(S_An,1,1)+205</f>
        <v>46228.0</v>
      </c>
      <c r="K235" s="93">
        <f>SUMIFS(D_CO2,D_Jour,J235)</f>
        <v>0</v>
      </c>
    </row>
    <row r="236">
      <c r="J236" s="97">
        <f>DATE(S_An,1,1)+206</f>
        <v>46229.0</v>
      </c>
      <c r="K236" s="93">
        <f>SUMIFS(D_CO2,D_Jour,J236)</f>
        <v>0</v>
      </c>
    </row>
    <row r="237">
      <c r="J237" s="97">
        <f>DATE(S_An,1,1)+207</f>
        <v>46230.0</v>
      </c>
      <c r="K237" s="93">
        <f>SUMIFS(D_CO2,D_Jour,J237)</f>
        <v>0</v>
      </c>
    </row>
    <row r="238">
      <c r="J238" s="97">
        <f>DATE(S_An,1,1)+208</f>
        <v>46231.0</v>
      </c>
      <c r="K238" s="93">
        <f>SUMIFS(D_CO2,D_Jour,J238)</f>
        <v>0</v>
      </c>
    </row>
    <row r="239">
      <c r="J239" s="97">
        <f>DATE(S_An,1,1)+209</f>
        <v>46232.0</v>
      </c>
      <c r="K239" s="93">
        <f>SUMIFS(D_CO2,D_Jour,J239)</f>
        <v>0</v>
      </c>
    </row>
    <row r="240">
      <c r="J240" s="97">
        <f>DATE(S_An,1,1)+210</f>
        <v>46233.0</v>
      </c>
      <c r="K240" s="93">
        <f>SUMIFS(D_CO2,D_Jour,J240)</f>
        <v>0</v>
      </c>
    </row>
    <row r="241">
      <c r="J241" s="97">
        <f>DATE(S_An,1,1)+211</f>
        <v>46234.0</v>
      </c>
      <c r="K241" s="93">
        <f>SUMIFS(D_CO2,D_Jour,J241)</f>
        <v>0</v>
      </c>
    </row>
    <row r="242">
      <c r="J242" s="97">
        <f>DATE(S_An,1,1)+212</f>
        <v>46235.0</v>
      </c>
      <c r="K242" s="93">
        <f>SUMIFS(D_CO2,D_Jour,J242)</f>
        <v>0</v>
      </c>
    </row>
    <row r="243">
      <c r="J243" s="97">
        <f>DATE(S_An,1,1)+213</f>
        <v>46236.0</v>
      </c>
      <c r="K243" s="93">
        <f>SUMIFS(D_CO2,D_Jour,J243)</f>
        <v>0</v>
      </c>
    </row>
    <row r="244">
      <c r="J244" s="97">
        <f>DATE(S_An,1,1)+214</f>
        <v>46237.0</v>
      </c>
      <c r="K244" s="93">
        <f>SUMIFS(D_CO2,D_Jour,J244)</f>
        <v>0</v>
      </c>
    </row>
    <row r="245">
      <c r="J245" s="97">
        <f>DATE(S_An,1,1)+215</f>
        <v>46238.0</v>
      </c>
      <c r="K245" s="93">
        <f>SUMIFS(D_CO2,D_Jour,J245)</f>
        <v>0</v>
      </c>
    </row>
    <row r="246">
      <c r="J246" s="97">
        <f>DATE(S_An,1,1)+216</f>
        <v>46239.0</v>
      </c>
      <c r="K246" s="93">
        <f>SUMIFS(D_CO2,D_Jour,J246)</f>
        <v>0</v>
      </c>
    </row>
    <row r="247">
      <c r="J247" s="97">
        <f>DATE(S_An,1,1)+217</f>
        <v>46240.0</v>
      </c>
      <c r="K247" s="93">
        <f>SUMIFS(D_CO2,D_Jour,J247)</f>
        <v>0</v>
      </c>
    </row>
    <row r="248">
      <c r="J248" s="97">
        <f>DATE(S_An,1,1)+218</f>
        <v>46241.0</v>
      </c>
      <c r="K248" s="93">
        <f>SUMIFS(D_CO2,D_Jour,J248)</f>
        <v>0</v>
      </c>
    </row>
    <row r="249">
      <c r="J249" s="97">
        <f>DATE(S_An,1,1)+219</f>
        <v>46242.0</v>
      </c>
      <c r="K249" s="93">
        <f>SUMIFS(D_CO2,D_Jour,J249)</f>
        <v>0</v>
      </c>
    </row>
    <row r="250">
      <c r="J250" s="97">
        <f>DATE(S_An,1,1)+220</f>
        <v>46243.0</v>
      </c>
      <c r="K250" s="93">
        <f>SUMIFS(D_CO2,D_Jour,J250)</f>
        <v>0</v>
      </c>
    </row>
    <row r="251">
      <c r="J251" s="97">
        <f>DATE(S_An,1,1)+221</f>
        <v>46244.0</v>
      </c>
      <c r="K251" s="93">
        <f>SUMIFS(D_CO2,D_Jour,J251)</f>
        <v>0</v>
      </c>
    </row>
    <row r="252">
      <c r="J252" s="97">
        <f>DATE(S_An,1,1)+222</f>
        <v>46245.0</v>
      </c>
      <c r="K252" s="93">
        <f>SUMIFS(D_CO2,D_Jour,J252)</f>
        <v>0</v>
      </c>
    </row>
    <row r="253">
      <c r="J253" s="97">
        <f>DATE(S_An,1,1)+223</f>
        <v>46246.0</v>
      </c>
      <c r="K253" s="93">
        <f>SUMIFS(D_CO2,D_Jour,J253)</f>
        <v>0</v>
      </c>
    </row>
    <row r="254">
      <c r="J254" s="97">
        <f>DATE(S_An,1,1)+224</f>
        <v>46247.0</v>
      </c>
      <c r="K254" s="93">
        <f>SUMIFS(D_CO2,D_Jour,J254)</f>
        <v>0</v>
      </c>
    </row>
    <row r="255">
      <c r="J255" s="97">
        <f>DATE(S_An,1,1)+225</f>
        <v>46248.0</v>
      </c>
      <c r="K255" s="93">
        <f>SUMIFS(D_CO2,D_Jour,J255)</f>
        <v>0</v>
      </c>
    </row>
    <row r="256">
      <c r="J256" s="97">
        <f>DATE(S_An,1,1)+226</f>
        <v>46249.0</v>
      </c>
      <c r="K256" s="93">
        <f>SUMIFS(D_CO2,D_Jour,J256)</f>
        <v>0</v>
      </c>
    </row>
    <row r="257">
      <c r="J257" s="97">
        <f>DATE(S_An,1,1)+227</f>
        <v>46250.0</v>
      </c>
      <c r="K257" s="93">
        <f>SUMIFS(D_CO2,D_Jour,J257)</f>
        <v>0</v>
      </c>
    </row>
    <row r="258">
      <c r="J258" s="97">
        <f>DATE(S_An,1,1)+228</f>
        <v>46251.0</v>
      </c>
      <c r="K258" s="93">
        <f>SUMIFS(D_CO2,D_Jour,J258)</f>
        <v>0</v>
      </c>
    </row>
    <row r="259">
      <c r="J259" s="97">
        <f>DATE(S_An,1,1)+229</f>
        <v>46252.0</v>
      </c>
      <c r="K259" s="93">
        <f>SUMIFS(D_CO2,D_Jour,J259)</f>
        <v>0</v>
      </c>
    </row>
    <row r="260">
      <c r="J260" s="97">
        <f>DATE(S_An,1,1)+230</f>
        <v>46253.0</v>
      </c>
      <c r="K260" s="93">
        <f>SUMIFS(D_CO2,D_Jour,J260)</f>
        <v>0</v>
      </c>
    </row>
    <row r="261">
      <c r="J261" s="97">
        <f>DATE(S_An,1,1)+231</f>
        <v>46254.0</v>
      </c>
      <c r="K261" s="93">
        <f>SUMIFS(D_CO2,D_Jour,J261)</f>
        <v>0</v>
      </c>
    </row>
    <row r="262">
      <c r="J262" s="97">
        <f>DATE(S_An,1,1)+232</f>
        <v>46255.0</v>
      </c>
      <c r="K262" s="93">
        <f>SUMIFS(D_CO2,D_Jour,J262)</f>
        <v>0</v>
      </c>
    </row>
    <row r="263">
      <c r="J263" s="97">
        <f>DATE(S_An,1,1)+233</f>
        <v>46256.0</v>
      </c>
      <c r="K263" s="93">
        <f>SUMIFS(D_CO2,D_Jour,J263)</f>
        <v>0</v>
      </c>
    </row>
    <row r="264">
      <c r="J264" s="97">
        <f>DATE(S_An,1,1)+234</f>
        <v>46257.0</v>
      </c>
      <c r="K264" s="93">
        <f>SUMIFS(D_CO2,D_Jour,J264)</f>
        <v>0</v>
      </c>
    </row>
    <row r="265">
      <c r="J265" s="97">
        <f>DATE(S_An,1,1)+235</f>
        <v>46258.0</v>
      </c>
      <c r="K265" s="93">
        <f>SUMIFS(D_CO2,D_Jour,J265)</f>
        <v>0</v>
      </c>
    </row>
    <row r="266">
      <c r="J266" s="97">
        <f>DATE(S_An,1,1)+236</f>
        <v>46259.0</v>
      </c>
      <c r="K266" s="93">
        <f>SUMIFS(D_CO2,D_Jour,J266)</f>
        <v>0</v>
      </c>
    </row>
    <row r="267">
      <c r="J267" s="97">
        <f>DATE(S_An,1,1)+237</f>
        <v>46260.0</v>
      </c>
      <c r="K267" s="93">
        <f>SUMIFS(D_CO2,D_Jour,J267)</f>
        <v>0</v>
      </c>
    </row>
    <row r="268">
      <c r="J268" s="97">
        <f>DATE(S_An,1,1)+238</f>
        <v>46261.0</v>
      </c>
      <c r="K268" s="93">
        <f>SUMIFS(D_CO2,D_Jour,J268)</f>
        <v>0</v>
      </c>
    </row>
    <row r="269">
      <c r="J269" s="97">
        <f>DATE(S_An,1,1)+239</f>
        <v>46262.0</v>
      </c>
      <c r="K269" s="93">
        <f>SUMIFS(D_CO2,D_Jour,J269)</f>
        <v>0</v>
      </c>
    </row>
    <row r="270">
      <c r="J270" s="97">
        <f>DATE(S_An,1,1)+240</f>
        <v>46263.0</v>
      </c>
      <c r="K270" s="93">
        <f>SUMIFS(D_CO2,D_Jour,J270)</f>
        <v>0</v>
      </c>
    </row>
    <row r="271">
      <c r="J271" s="97">
        <f>DATE(S_An,1,1)+241</f>
        <v>46264.0</v>
      </c>
      <c r="K271" s="93">
        <f>SUMIFS(D_CO2,D_Jour,J271)</f>
        <v>0</v>
      </c>
    </row>
    <row r="272">
      <c r="J272" s="97">
        <f>DATE(S_An,1,1)+242</f>
        <v>46265.0</v>
      </c>
      <c r="K272" s="93">
        <f>SUMIFS(D_CO2,D_Jour,J272)</f>
        <v>0</v>
      </c>
    </row>
    <row r="273">
      <c r="J273" s="97">
        <f>DATE(S_An,1,1)+243</f>
        <v>46266.0</v>
      </c>
      <c r="K273" s="93">
        <f>SUMIFS(D_CO2,D_Jour,J273)</f>
        <v>0</v>
      </c>
    </row>
    <row r="274">
      <c r="J274" s="97">
        <f>DATE(S_An,1,1)+244</f>
        <v>46267.0</v>
      </c>
      <c r="K274" s="93">
        <f>SUMIFS(D_CO2,D_Jour,J274)</f>
        <v>0</v>
      </c>
    </row>
    <row r="275">
      <c r="J275" s="97">
        <f>DATE(S_An,1,1)+245</f>
        <v>46268.0</v>
      </c>
      <c r="K275" s="93">
        <f>SUMIFS(D_CO2,D_Jour,J275)</f>
        <v>0</v>
      </c>
    </row>
    <row r="276">
      <c r="J276" s="97">
        <f>DATE(S_An,1,1)+246</f>
        <v>46269.0</v>
      </c>
      <c r="K276" s="93">
        <f>SUMIFS(D_CO2,D_Jour,J276)</f>
        <v>0</v>
      </c>
    </row>
    <row r="277">
      <c r="J277" s="97">
        <f>DATE(S_An,1,1)+247</f>
        <v>46270.0</v>
      </c>
      <c r="K277" s="93">
        <f>SUMIFS(D_CO2,D_Jour,J277)</f>
        <v>0</v>
      </c>
    </row>
    <row r="278">
      <c r="J278" s="97">
        <f>DATE(S_An,1,1)+248</f>
        <v>46271.0</v>
      </c>
      <c r="K278" s="93">
        <f>SUMIFS(D_CO2,D_Jour,J278)</f>
        <v>0</v>
      </c>
    </row>
    <row r="279">
      <c r="J279" s="97">
        <f>DATE(S_An,1,1)+249</f>
        <v>46272.0</v>
      </c>
      <c r="K279" s="93">
        <f>SUMIFS(D_CO2,D_Jour,J279)</f>
        <v>0</v>
      </c>
    </row>
    <row r="280">
      <c r="J280" s="97">
        <f>DATE(S_An,1,1)+250</f>
        <v>46273.0</v>
      </c>
      <c r="K280" s="93">
        <f>SUMIFS(D_CO2,D_Jour,J280)</f>
        <v>0</v>
      </c>
    </row>
    <row r="281">
      <c r="J281" s="97">
        <f>DATE(S_An,1,1)+251</f>
        <v>46274.0</v>
      </c>
      <c r="K281" s="93">
        <f>SUMIFS(D_CO2,D_Jour,J281)</f>
        <v>0</v>
      </c>
    </row>
    <row r="282">
      <c r="J282" s="97">
        <f>DATE(S_An,1,1)+252</f>
        <v>46275.0</v>
      </c>
      <c r="K282" s="93">
        <f>SUMIFS(D_CO2,D_Jour,J282)</f>
        <v>0</v>
      </c>
    </row>
    <row r="283">
      <c r="J283" s="97">
        <f>DATE(S_An,1,1)+253</f>
        <v>46276.0</v>
      </c>
      <c r="K283" s="93">
        <f>SUMIFS(D_CO2,D_Jour,J283)</f>
        <v>0</v>
      </c>
    </row>
    <row r="284">
      <c r="J284" s="97">
        <f>DATE(S_An,1,1)+254</f>
        <v>46277.0</v>
      </c>
      <c r="K284" s="93">
        <f>SUMIFS(D_CO2,D_Jour,J284)</f>
        <v>0</v>
      </c>
    </row>
    <row r="285">
      <c r="J285" s="97">
        <f>DATE(S_An,1,1)+255</f>
        <v>46278.0</v>
      </c>
      <c r="K285" s="93">
        <f>SUMIFS(D_CO2,D_Jour,J285)</f>
        <v>0</v>
      </c>
    </row>
    <row r="286">
      <c r="J286" s="97">
        <f>DATE(S_An,1,1)+256</f>
        <v>46279.0</v>
      </c>
      <c r="K286" s="93">
        <f>SUMIFS(D_CO2,D_Jour,J286)</f>
        <v>0</v>
      </c>
    </row>
    <row r="287">
      <c r="J287" s="97">
        <f>DATE(S_An,1,1)+257</f>
        <v>46280.0</v>
      </c>
      <c r="K287" s="93">
        <f>SUMIFS(D_CO2,D_Jour,J287)</f>
        <v>0</v>
      </c>
    </row>
    <row r="288">
      <c r="J288" s="97">
        <f>DATE(S_An,1,1)+258</f>
        <v>46281.0</v>
      </c>
      <c r="K288" s="93">
        <f>SUMIFS(D_CO2,D_Jour,J288)</f>
        <v>0</v>
      </c>
    </row>
    <row r="289">
      <c r="J289" s="97">
        <f>DATE(S_An,1,1)+259</f>
        <v>46282.0</v>
      </c>
      <c r="K289" s="93">
        <f>SUMIFS(D_CO2,D_Jour,J289)</f>
        <v>0</v>
      </c>
    </row>
    <row r="290">
      <c r="J290" s="97">
        <f>DATE(S_An,1,1)+260</f>
        <v>46283.0</v>
      </c>
      <c r="K290" s="93">
        <f>SUMIFS(D_CO2,D_Jour,J290)</f>
        <v>0</v>
      </c>
    </row>
    <row r="291">
      <c r="J291" s="97">
        <f>DATE(S_An,1,1)+261</f>
        <v>46284.0</v>
      </c>
      <c r="K291" s="93">
        <f>SUMIFS(D_CO2,D_Jour,J291)</f>
        <v>0</v>
      </c>
    </row>
    <row r="292">
      <c r="J292" s="97">
        <f>DATE(S_An,1,1)+262</f>
        <v>46285.0</v>
      </c>
      <c r="K292" s="93">
        <f>SUMIFS(D_CO2,D_Jour,J292)</f>
        <v>0</v>
      </c>
    </row>
    <row r="293">
      <c r="J293" s="97">
        <f>DATE(S_An,1,1)+263</f>
        <v>46286.0</v>
      </c>
      <c r="K293" s="93">
        <f>SUMIFS(D_CO2,D_Jour,J293)</f>
        <v>0</v>
      </c>
    </row>
    <row r="294">
      <c r="J294" s="97">
        <f>DATE(S_An,1,1)+264</f>
        <v>46287.0</v>
      </c>
      <c r="K294" s="93">
        <f>SUMIFS(D_CO2,D_Jour,J294)</f>
        <v>0</v>
      </c>
    </row>
    <row r="295">
      <c r="J295" s="97">
        <f>DATE(S_An,1,1)+265</f>
        <v>46288.0</v>
      </c>
      <c r="K295" s="93">
        <f>SUMIFS(D_CO2,D_Jour,J295)</f>
        <v>0</v>
      </c>
    </row>
    <row r="296">
      <c r="J296" s="97">
        <f>DATE(S_An,1,1)+266</f>
        <v>46289.0</v>
      </c>
      <c r="K296" s="93">
        <f>SUMIFS(D_CO2,D_Jour,J296)</f>
        <v>0</v>
      </c>
    </row>
    <row r="297">
      <c r="J297" s="97">
        <f>DATE(S_An,1,1)+267</f>
        <v>46290.0</v>
      </c>
      <c r="K297" s="93">
        <f>SUMIFS(D_CO2,D_Jour,J297)</f>
        <v>0</v>
      </c>
    </row>
    <row r="298">
      <c r="J298" s="97">
        <f>DATE(S_An,1,1)+268</f>
        <v>46291.0</v>
      </c>
      <c r="K298" s="93">
        <f>SUMIFS(D_CO2,D_Jour,J298)</f>
        <v>0</v>
      </c>
    </row>
    <row r="299">
      <c r="J299" s="97">
        <f>DATE(S_An,1,1)+269</f>
        <v>46292.0</v>
      </c>
      <c r="K299" s="93">
        <f>SUMIFS(D_CO2,D_Jour,J299)</f>
        <v>0</v>
      </c>
    </row>
    <row r="300">
      <c r="J300" s="97">
        <f>DATE(S_An,1,1)+270</f>
        <v>46293.0</v>
      </c>
      <c r="K300" s="93">
        <f>SUMIFS(D_CO2,D_Jour,J300)</f>
        <v>0</v>
      </c>
    </row>
    <row r="301">
      <c r="J301" s="97">
        <f>DATE(S_An,1,1)+271</f>
        <v>46294.0</v>
      </c>
      <c r="K301" s="93">
        <f>SUMIFS(D_CO2,D_Jour,J301)</f>
        <v>0</v>
      </c>
    </row>
    <row r="302">
      <c r="J302" s="97">
        <f>DATE(S_An,1,1)+272</f>
        <v>46295.0</v>
      </c>
      <c r="K302" s="93">
        <f>SUMIFS(D_CO2,D_Jour,J302)</f>
        <v>0</v>
      </c>
    </row>
    <row r="303">
      <c r="J303" s="97">
        <f>DATE(S_An,1,1)+273</f>
        <v>46296.0</v>
      </c>
      <c r="K303" s="93">
        <f>SUMIFS(D_CO2,D_Jour,J303)</f>
        <v>0</v>
      </c>
    </row>
    <row r="304">
      <c r="J304" s="97">
        <f>DATE(S_An,1,1)+274</f>
        <v>46297.0</v>
      </c>
      <c r="K304" s="93">
        <f>SUMIFS(D_CO2,D_Jour,J304)</f>
        <v>0</v>
      </c>
    </row>
    <row r="305">
      <c r="J305" s="97">
        <f>DATE(S_An,1,1)+275</f>
        <v>46298.0</v>
      </c>
      <c r="K305" s="93">
        <f>SUMIFS(D_CO2,D_Jour,J305)</f>
        <v>0</v>
      </c>
    </row>
    <row r="306">
      <c r="J306" s="97">
        <f>DATE(S_An,1,1)+276</f>
        <v>46299.0</v>
      </c>
      <c r="K306" s="93">
        <f>SUMIFS(D_CO2,D_Jour,J306)</f>
        <v>0</v>
      </c>
    </row>
    <row r="307">
      <c r="J307" s="97">
        <f>DATE(S_An,1,1)+277</f>
        <v>46300.0</v>
      </c>
      <c r="K307" s="93">
        <f>SUMIFS(D_CO2,D_Jour,J307)</f>
        <v>0</v>
      </c>
    </row>
    <row r="308">
      <c r="J308" s="97">
        <f>DATE(S_An,1,1)+278</f>
        <v>46301.0</v>
      </c>
      <c r="K308" s="93">
        <f>SUMIFS(D_CO2,D_Jour,J308)</f>
        <v>0</v>
      </c>
    </row>
    <row r="309">
      <c r="J309" s="97">
        <f>DATE(S_An,1,1)+279</f>
        <v>46302.0</v>
      </c>
      <c r="K309" s="93">
        <f>SUMIFS(D_CO2,D_Jour,J309)</f>
        <v>0</v>
      </c>
    </row>
    <row r="310">
      <c r="J310" s="97">
        <f>DATE(S_An,1,1)+280</f>
        <v>46303.0</v>
      </c>
      <c r="K310" s="93">
        <f>SUMIFS(D_CO2,D_Jour,J310)</f>
        <v>0</v>
      </c>
    </row>
    <row r="311">
      <c r="J311" s="97">
        <f>DATE(S_An,1,1)+281</f>
        <v>46304.0</v>
      </c>
      <c r="K311" s="93">
        <f>SUMIFS(D_CO2,D_Jour,J311)</f>
        <v>0</v>
      </c>
    </row>
    <row r="312">
      <c r="J312" s="97">
        <f>DATE(S_An,1,1)+282</f>
        <v>46305.0</v>
      </c>
      <c r="K312" s="93">
        <f>SUMIFS(D_CO2,D_Jour,J312)</f>
        <v>0</v>
      </c>
    </row>
    <row r="313">
      <c r="J313" s="97">
        <f>DATE(S_An,1,1)+283</f>
        <v>46306.0</v>
      </c>
      <c r="K313" s="93">
        <f>SUMIFS(D_CO2,D_Jour,J313)</f>
        <v>0</v>
      </c>
    </row>
    <row r="314">
      <c r="J314" s="97">
        <f>DATE(S_An,1,1)+284</f>
        <v>46307.0</v>
      </c>
      <c r="K314" s="93">
        <f>SUMIFS(D_CO2,D_Jour,J314)</f>
        <v>0</v>
      </c>
    </row>
    <row r="315">
      <c r="J315" s="97">
        <f>DATE(S_An,1,1)+285</f>
        <v>46308.0</v>
      </c>
      <c r="K315" s="93">
        <f>SUMIFS(D_CO2,D_Jour,J315)</f>
        <v>0</v>
      </c>
    </row>
    <row r="316">
      <c r="J316" s="97">
        <f>DATE(S_An,1,1)+286</f>
        <v>46309.0</v>
      </c>
      <c r="K316" s="93">
        <f>SUMIFS(D_CO2,D_Jour,J316)</f>
        <v>0</v>
      </c>
    </row>
    <row r="317">
      <c r="J317" s="97">
        <f>DATE(S_An,1,1)+287</f>
        <v>46310.0</v>
      </c>
      <c r="K317" s="93">
        <f>SUMIFS(D_CO2,D_Jour,J317)</f>
        <v>0</v>
      </c>
    </row>
    <row r="318">
      <c r="J318" s="97">
        <f>DATE(S_An,1,1)+288</f>
        <v>46311.0</v>
      </c>
      <c r="K318" s="93">
        <f>SUMIFS(D_CO2,D_Jour,J318)</f>
        <v>0</v>
      </c>
    </row>
    <row r="319">
      <c r="J319" s="97">
        <f>DATE(S_An,1,1)+289</f>
        <v>46312.0</v>
      </c>
      <c r="K319" s="93">
        <f>SUMIFS(D_CO2,D_Jour,J319)</f>
        <v>0</v>
      </c>
    </row>
    <row r="320">
      <c r="J320" s="97">
        <f>DATE(S_An,1,1)+290</f>
        <v>46313.0</v>
      </c>
      <c r="K320" s="93">
        <f>SUMIFS(D_CO2,D_Jour,J320)</f>
        <v>0</v>
      </c>
    </row>
    <row r="321">
      <c r="J321" s="97">
        <f>DATE(S_An,1,1)+291</f>
        <v>46314.0</v>
      </c>
      <c r="K321" s="93">
        <f>SUMIFS(D_CO2,D_Jour,J321)</f>
        <v>0</v>
      </c>
    </row>
    <row r="322">
      <c r="J322" s="97">
        <f>DATE(S_An,1,1)+292</f>
        <v>46315.0</v>
      </c>
      <c r="K322" s="93">
        <f>SUMIFS(D_CO2,D_Jour,J322)</f>
        <v>0</v>
      </c>
    </row>
    <row r="323">
      <c r="J323" s="97">
        <f>DATE(S_An,1,1)+293</f>
        <v>46316.0</v>
      </c>
      <c r="K323" s="93">
        <f>SUMIFS(D_CO2,D_Jour,J323)</f>
        <v>0</v>
      </c>
    </row>
    <row r="324">
      <c r="J324" s="97">
        <f>DATE(S_An,1,1)+294</f>
        <v>46317.0</v>
      </c>
      <c r="K324" s="93">
        <f>SUMIFS(D_CO2,D_Jour,J324)</f>
        <v>0</v>
      </c>
    </row>
    <row r="325">
      <c r="J325" s="97">
        <f>DATE(S_An,1,1)+295</f>
        <v>46318.0</v>
      </c>
      <c r="K325" s="93">
        <f>SUMIFS(D_CO2,D_Jour,J325)</f>
        <v>0</v>
      </c>
    </row>
    <row r="326">
      <c r="J326" s="97">
        <f>DATE(S_An,1,1)+296</f>
        <v>46319.0</v>
      </c>
      <c r="K326" s="93">
        <f>SUMIFS(D_CO2,D_Jour,J326)</f>
        <v>0</v>
      </c>
    </row>
    <row r="327">
      <c r="J327" s="97">
        <f>DATE(S_An,1,1)+297</f>
        <v>46320.0</v>
      </c>
      <c r="K327" s="93">
        <f>SUMIFS(D_CO2,D_Jour,J327)</f>
        <v>0</v>
      </c>
    </row>
    <row r="328">
      <c r="J328" s="97">
        <f>DATE(S_An,1,1)+298</f>
        <v>46321.0</v>
      </c>
      <c r="K328" s="93">
        <f>SUMIFS(D_CO2,D_Jour,J328)</f>
        <v>0</v>
      </c>
    </row>
    <row r="329">
      <c r="J329" s="97">
        <f>DATE(S_An,1,1)+299</f>
        <v>46322.0</v>
      </c>
      <c r="K329" s="93">
        <f>SUMIFS(D_CO2,D_Jour,J329)</f>
        <v>0</v>
      </c>
    </row>
    <row r="330">
      <c r="J330" s="97">
        <f>DATE(S_An,1,1)+300</f>
        <v>46323.0</v>
      </c>
      <c r="K330" s="93">
        <f>SUMIFS(D_CO2,D_Jour,J330)</f>
        <v>0</v>
      </c>
    </row>
    <row r="331">
      <c r="J331" s="97">
        <f>DATE(S_An,1,1)+301</f>
        <v>46324.0</v>
      </c>
      <c r="K331" s="93">
        <f>SUMIFS(D_CO2,D_Jour,J331)</f>
        <v>0</v>
      </c>
    </row>
    <row r="332">
      <c r="J332" s="97">
        <f>DATE(S_An,1,1)+302</f>
        <v>46325.0</v>
      </c>
      <c r="K332" s="93">
        <f>SUMIFS(D_CO2,D_Jour,J332)</f>
        <v>0</v>
      </c>
    </row>
    <row r="333">
      <c r="J333" s="97">
        <f>DATE(S_An,1,1)+303</f>
        <v>46326.0</v>
      </c>
      <c r="K333" s="93">
        <f>SUMIFS(D_CO2,D_Jour,J333)</f>
        <v>0</v>
      </c>
    </row>
    <row r="334">
      <c r="J334" s="97">
        <f>DATE(S_An,1,1)+304</f>
        <v>46327.0</v>
      </c>
      <c r="K334" s="93">
        <f>SUMIFS(D_CO2,D_Jour,J334)</f>
        <v>0</v>
      </c>
    </row>
    <row r="335">
      <c r="J335" s="97">
        <f>DATE(S_An,1,1)+305</f>
        <v>46328.0</v>
      </c>
      <c r="K335" s="93">
        <f>SUMIFS(D_CO2,D_Jour,J335)</f>
        <v>0</v>
      </c>
    </row>
    <row r="336">
      <c r="J336" s="97">
        <f>DATE(S_An,1,1)+306</f>
        <v>46329.0</v>
      </c>
      <c r="K336" s="93">
        <f>SUMIFS(D_CO2,D_Jour,J336)</f>
        <v>0</v>
      </c>
    </row>
    <row r="337">
      <c r="J337" s="97">
        <f>DATE(S_An,1,1)+307</f>
        <v>46330.0</v>
      </c>
      <c r="K337" s="93">
        <f>SUMIFS(D_CO2,D_Jour,J337)</f>
        <v>0</v>
      </c>
    </row>
    <row r="338">
      <c r="J338" s="97">
        <f>DATE(S_An,1,1)+308</f>
        <v>46331.0</v>
      </c>
      <c r="K338" s="93">
        <f>SUMIFS(D_CO2,D_Jour,J338)</f>
        <v>0</v>
      </c>
    </row>
    <row r="339">
      <c r="J339" s="97">
        <f>DATE(S_An,1,1)+309</f>
        <v>46332.0</v>
      </c>
      <c r="K339" s="93">
        <f>SUMIFS(D_CO2,D_Jour,J339)</f>
        <v>0</v>
      </c>
    </row>
    <row r="340">
      <c r="J340" s="97">
        <f>DATE(S_An,1,1)+310</f>
        <v>46333.0</v>
      </c>
      <c r="K340" s="93">
        <f>SUMIFS(D_CO2,D_Jour,J340)</f>
        <v>0</v>
      </c>
    </row>
    <row r="341">
      <c r="J341" s="97">
        <f>DATE(S_An,1,1)+311</f>
        <v>46334.0</v>
      </c>
      <c r="K341" s="93">
        <f>SUMIFS(D_CO2,D_Jour,J341)</f>
        <v>0</v>
      </c>
    </row>
    <row r="342">
      <c r="J342" s="97">
        <f>DATE(S_An,1,1)+312</f>
        <v>46335.0</v>
      </c>
      <c r="K342" s="93">
        <f>SUMIFS(D_CO2,D_Jour,J342)</f>
        <v>0</v>
      </c>
    </row>
    <row r="343">
      <c r="J343" s="97">
        <f>DATE(S_An,1,1)+313</f>
        <v>46336.0</v>
      </c>
      <c r="K343" s="93">
        <f>SUMIFS(D_CO2,D_Jour,J343)</f>
        <v>0</v>
      </c>
    </row>
    <row r="344">
      <c r="J344" s="97">
        <f>DATE(S_An,1,1)+314</f>
        <v>46337.0</v>
      </c>
      <c r="K344" s="93">
        <f>SUMIFS(D_CO2,D_Jour,J344)</f>
        <v>0</v>
      </c>
    </row>
    <row r="345">
      <c r="J345" s="97">
        <f>DATE(S_An,1,1)+315</f>
        <v>46338.0</v>
      </c>
      <c r="K345" s="93">
        <f>SUMIFS(D_CO2,D_Jour,J345)</f>
        <v>0</v>
      </c>
    </row>
    <row r="346">
      <c r="J346" s="97">
        <f>DATE(S_An,1,1)+316</f>
        <v>46339.0</v>
      </c>
      <c r="K346" s="93">
        <f>SUMIFS(D_CO2,D_Jour,J346)</f>
        <v>0</v>
      </c>
    </row>
    <row r="347">
      <c r="J347" s="97">
        <f>DATE(S_An,1,1)+317</f>
        <v>46340.0</v>
      </c>
      <c r="K347" s="93">
        <f>SUMIFS(D_CO2,D_Jour,J347)</f>
        <v>0</v>
      </c>
    </row>
    <row r="348">
      <c r="J348" s="97">
        <f>DATE(S_An,1,1)+318</f>
        <v>46341.0</v>
      </c>
      <c r="K348" s="93">
        <f>SUMIFS(D_CO2,D_Jour,J348)</f>
        <v>0</v>
      </c>
    </row>
    <row r="349">
      <c r="J349" s="97">
        <f>DATE(S_An,1,1)+319</f>
        <v>46342.0</v>
      </c>
      <c r="K349" s="93">
        <f>SUMIFS(D_CO2,D_Jour,J349)</f>
        <v>0</v>
      </c>
    </row>
    <row r="350">
      <c r="J350" s="97">
        <f>DATE(S_An,1,1)+320</f>
        <v>46343.0</v>
      </c>
      <c r="K350" s="93">
        <f>SUMIFS(D_CO2,D_Jour,J350)</f>
        <v>0</v>
      </c>
    </row>
    <row r="351">
      <c r="J351" s="97">
        <f>DATE(S_An,1,1)+321</f>
        <v>46344.0</v>
      </c>
      <c r="K351" s="93">
        <f>SUMIFS(D_CO2,D_Jour,J351)</f>
        <v>0</v>
      </c>
    </row>
    <row r="352">
      <c r="J352" s="97">
        <f>DATE(S_An,1,1)+322</f>
        <v>46345.0</v>
      </c>
      <c r="K352" s="93">
        <f>SUMIFS(D_CO2,D_Jour,J352)</f>
        <v>0</v>
      </c>
    </row>
    <row r="353">
      <c r="J353" s="97">
        <f>DATE(S_An,1,1)+323</f>
        <v>46346.0</v>
      </c>
      <c r="K353" s="93">
        <f>SUMIFS(D_CO2,D_Jour,J353)</f>
        <v>0</v>
      </c>
    </row>
    <row r="354">
      <c r="J354" s="97">
        <f>DATE(S_An,1,1)+324</f>
        <v>46347.0</v>
      </c>
      <c r="K354" s="93">
        <f>SUMIFS(D_CO2,D_Jour,J354)</f>
        <v>0</v>
      </c>
    </row>
    <row r="355">
      <c r="J355" s="97">
        <f>DATE(S_An,1,1)+325</f>
        <v>46348.0</v>
      </c>
      <c r="K355" s="93">
        <f>SUMIFS(D_CO2,D_Jour,J355)</f>
        <v>0</v>
      </c>
    </row>
    <row r="356">
      <c r="J356" s="97">
        <f>DATE(S_An,1,1)+326</f>
        <v>46349.0</v>
      </c>
      <c r="K356" s="93">
        <f>SUMIFS(D_CO2,D_Jour,J356)</f>
        <v>0</v>
      </c>
    </row>
    <row r="357">
      <c r="J357" s="97">
        <f>DATE(S_An,1,1)+327</f>
        <v>46350.0</v>
      </c>
      <c r="K357" s="93">
        <f>SUMIFS(D_CO2,D_Jour,J357)</f>
        <v>0</v>
      </c>
    </row>
    <row r="358">
      <c r="J358" s="97">
        <f>DATE(S_An,1,1)+328</f>
        <v>46351.0</v>
      </c>
      <c r="K358" s="93">
        <f>SUMIFS(D_CO2,D_Jour,J358)</f>
        <v>0</v>
      </c>
    </row>
    <row r="359">
      <c r="J359" s="97">
        <f>DATE(S_An,1,1)+329</f>
        <v>46352.0</v>
      </c>
      <c r="K359" s="93">
        <f>SUMIFS(D_CO2,D_Jour,J359)</f>
        <v>0</v>
      </c>
    </row>
    <row r="360">
      <c r="J360" s="97">
        <f>DATE(S_An,1,1)+330</f>
        <v>46353.0</v>
      </c>
      <c r="K360" s="93">
        <f>SUMIFS(D_CO2,D_Jour,J360)</f>
        <v>0</v>
      </c>
    </row>
    <row r="361">
      <c r="J361" s="97">
        <f>DATE(S_An,1,1)+331</f>
        <v>46354.0</v>
      </c>
      <c r="K361" s="93">
        <f>SUMIFS(D_CO2,D_Jour,J361)</f>
        <v>0</v>
      </c>
    </row>
    <row r="362">
      <c r="J362" s="97">
        <f>DATE(S_An,1,1)+332</f>
        <v>46355.0</v>
      </c>
      <c r="K362" s="93">
        <f>SUMIFS(D_CO2,D_Jour,J362)</f>
        <v>0</v>
      </c>
    </row>
    <row r="363">
      <c r="J363" s="97">
        <f>DATE(S_An,1,1)+333</f>
        <v>46356.0</v>
      </c>
      <c r="K363" s="93">
        <f>SUMIFS(D_CO2,D_Jour,J363)</f>
        <v>0</v>
      </c>
    </row>
    <row r="364">
      <c r="J364" s="97">
        <f>DATE(S_An,1,1)+334</f>
        <v>46357.0</v>
      </c>
      <c r="K364" s="93">
        <f>SUMIFS(D_CO2,D_Jour,J364)</f>
        <v>0</v>
      </c>
    </row>
    <row r="365">
      <c r="J365" s="97">
        <f>DATE(S_An,1,1)+335</f>
        <v>46358.0</v>
      </c>
      <c r="K365" s="93">
        <f>SUMIFS(D_CO2,D_Jour,J365)</f>
        <v>0</v>
      </c>
    </row>
    <row r="366">
      <c r="J366" s="97">
        <f>DATE(S_An,1,1)+336</f>
        <v>46359.0</v>
      </c>
      <c r="K366" s="93">
        <f>SUMIFS(D_CO2,D_Jour,J366)</f>
        <v>0</v>
      </c>
    </row>
    <row r="367">
      <c r="J367" s="97">
        <f>DATE(S_An,1,1)+337</f>
        <v>46360.0</v>
      </c>
      <c r="K367" s="93">
        <f>SUMIFS(D_CO2,D_Jour,J367)</f>
        <v>0</v>
      </c>
    </row>
    <row r="368">
      <c r="J368" s="97">
        <f>DATE(S_An,1,1)+338</f>
        <v>46361.0</v>
      </c>
      <c r="K368" s="93">
        <f>SUMIFS(D_CO2,D_Jour,J368)</f>
        <v>0</v>
      </c>
    </row>
    <row r="369">
      <c r="J369" s="97">
        <f>DATE(S_An,1,1)+339</f>
        <v>46362.0</v>
      </c>
      <c r="K369" s="93">
        <f>SUMIFS(D_CO2,D_Jour,J369)</f>
        <v>0</v>
      </c>
    </row>
    <row r="370">
      <c r="J370" s="97">
        <f>DATE(S_An,1,1)+340</f>
        <v>46363.0</v>
      </c>
      <c r="K370" s="93">
        <f>SUMIFS(D_CO2,D_Jour,J370)</f>
        <v>0</v>
      </c>
    </row>
    <row r="371">
      <c r="J371" s="97">
        <f>DATE(S_An,1,1)+341</f>
        <v>46364.0</v>
      </c>
      <c r="K371" s="93">
        <f>SUMIFS(D_CO2,D_Jour,J371)</f>
        <v>0</v>
      </c>
    </row>
    <row r="372">
      <c r="J372" s="97">
        <f>DATE(S_An,1,1)+342</f>
        <v>46365.0</v>
      </c>
      <c r="K372" s="93">
        <f>SUMIFS(D_CO2,D_Jour,J372)</f>
        <v>0</v>
      </c>
    </row>
    <row r="373">
      <c r="J373" s="97">
        <f>DATE(S_An,1,1)+343</f>
        <v>46366.0</v>
      </c>
      <c r="K373" s="93">
        <f>SUMIFS(D_CO2,D_Jour,J373)</f>
        <v>0</v>
      </c>
    </row>
    <row r="374">
      <c r="J374" s="97">
        <f>DATE(S_An,1,1)+344</f>
        <v>46367.0</v>
      </c>
      <c r="K374" s="93">
        <f>SUMIFS(D_CO2,D_Jour,J374)</f>
        <v>0</v>
      </c>
    </row>
    <row r="375">
      <c r="J375" s="97">
        <f>DATE(S_An,1,1)+345</f>
        <v>46368.0</v>
      </c>
      <c r="K375" s="93">
        <f>SUMIFS(D_CO2,D_Jour,J375)</f>
        <v>0</v>
      </c>
    </row>
    <row r="376">
      <c r="J376" s="97">
        <f>DATE(S_An,1,1)+346</f>
        <v>46369.0</v>
      </c>
      <c r="K376" s="93">
        <f>SUMIFS(D_CO2,D_Jour,J376)</f>
        <v>0</v>
      </c>
    </row>
    <row r="377">
      <c r="J377" s="97">
        <f>DATE(S_An,1,1)+347</f>
        <v>46370.0</v>
      </c>
      <c r="K377" s="93">
        <f>SUMIFS(D_CO2,D_Jour,J377)</f>
        <v>0</v>
      </c>
    </row>
    <row r="378">
      <c r="J378" s="97">
        <f>DATE(S_An,1,1)+348</f>
        <v>46371.0</v>
      </c>
      <c r="K378" s="93">
        <f>SUMIFS(D_CO2,D_Jour,J378)</f>
        <v>0</v>
      </c>
    </row>
    <row r="379">
      <c r="J379" s="97">
        <f>DATE(S_An,1,1)+349</f>
        <v>46372.0</v>
      </c>
      <c r="K379" s="93">
        <f>SUMIFS(D_CO2,D_Jour,J379)</f>
        <v>0</v>
      </c>
    </row>
    <row r="380">
      <c r="J380" s="97">
        <f>DATE(S_An,1,1)+350</f>
        <v>46373.0</v>
      </c>
      <c r="K380" s="93">
        <f>SUMIFS(D_CO2,D_Jour,J380)</f>
        <v>0</v>
      </c>
    </row>
    <row r="381">
      <c r="J381" s="97">
        <f>DATE(S_An,1,1)+351</f>
        <v>46374.0</v>
      </c>
      <c r="K381" s="93">
        <f>SUMIFS(D_CO2,D_Jour,J381)</f>
        <v>0</v>
      </c>
    </row>
    <row r="382">
      <c r="J382" s="97">
        <f>DATE(S_An,1,1)+352</f>
        <v>46375.0</v>
      </c>
      <c r="K382" s="93">
        <f>SUMIFS(D_CO2,D_Jour,J382)</f>
        <v>0</v>
      </c>
    </row>
    <row r="383">
      <c r="J383" s="97">
        <f>DATE(S_An,1,1)+353</f>
        <v>46376.0</v>
      </c>
      <c r="K383" s="93">
        <f>SUMIFS(D_CO2,D_Jour,J383)</f>
        <v>0</v>
      </c>
    </row>
    <row r="384">
      <c r="J384" s="97">
        <f>DATE(S_An,1,1)+354</f>
        <v>46377.0</v>
      </c>
      <c r="K384" s="93">
        <f>SUMIFS(D_CO2,D_Jour,J384)</f>
        <v>0</v>
      </c>
    </row>
    <row r="385">
      <c r="J385" s="97">
        <f>DATE(S_An,1,1)+355</f>
        <v>46378.0</v>
      </c>
      <c r="K385" s="93">
        <f>SUMIFS(D_CO2,D_Jour,J385)</f>
        <v>0</v>
      </c>
    </row>
    <row r="386">
      <c r="J386" s="97">
        <f>DATE(S_An,1,1)+356</f>
        <v>46379.0</v>
      </c>
      <c r="K386" s="93">
        <f>SUMIFS(D_CO2,D_Jour,J386)</f>
        <v>0</v>
      </c>
    </row>
    <row r="387">
      <c r="J387" s="97">
        <f>DATE(S_An,1,1)+357</f>
        <v>46380.0</v>
      </c>
      <c r="K387" s="93">
        <f>SUMIFS(D_CO2,D_Jour,J387)</f>
        <v>0</v>
      </c>
    </row>
    <row r="388">
      <c r="J388" s="97">
        <f>DATE(S_An,1,1)+358</f>
        <v>46381.0</v>
      </c>
      <c r="K388" s="93">
        <f>SUMIFS(D_CO2,D_Jour,J388)</f>
        <v>0</v>
      </c>
    </row>
    <row r="389">
      <c r="J389" s="97">
        <f>DATE(S_An,1,1)+359</f>
        <v>46382.0</v>
      </c>
      <c r="K389" s="93">
        <f>SUMIFS(D_CO2,D_Jour,J389)</f>
        <v>0</v>
      </c>
    </row>
    <row r="390">
      <c r="J390" s="97">
        <f>DATE(S_An,1,1)+360</f>
        <v>46383.0</v>
      </c>
      <c r="K390" s="93">
        <f>SUMIFS(D_CO2,D_Jour,J390)</f>
        <v>0</v>
      </c>
    </row>
    <row r="391">
      <c r="J391" s="97">
        <f>DATE(S_An,1,1)+361</f>
        <v>46384.0</v>
      </c>
      <c r="K391" s="93">
        <f>SUMIFS(D_CO2,D_Jour,J391)</f>
        <v>0</v>
      </c>
    </row>
    <row r="392">
      <c r="J392" s="97">
        <f>DATE(S_An,1,1)+362</f>
        <v>46385.0</v>
      </c>
      <c r="K392" s="93">
        <f>SUMIFS(D_CO2,D_Jour,J392)</f>
        <v>0</v>
      </c>
    </row>
    <row r="393">
      <c r="J393" s="97">
        <f>DATE(S_An,1,1)+363</f>
        <v>46386.0</v>
      </c>
      <c r="K393" s="93">
        <f>SUMIFS(D_CO2,D_Jour,J393)</f>
        <v>0</v>
      </c>
    </row>
    <row r="394">
      <c r="J394" s="97">
        <f>DATE(S_An,1,1)+364</f>
        <v>46387.0</v>
      </c>
      <c r="K394" s="93">
        <f>SUMIFS(D_CO2,D_Jour,J394)</f>
        <v>0</v>
      </c>
    </row>
    <row r="395"/>
  </sheetData>
  <pageMargins left="0.75" right="0.75" top="1" bottom="1" header="0.5" footer="0.5"/>
</worksheet>
</file>

<file path=xl/worksheets/sheet9.xml><?xml version="1.0" encoding="utf-8"?>
<worksheet xmlns="http://schemas.openxmlformats.org/spreadsheetml/2006/main">
  <sheetPr>
    <tabColor rgb="00E6E8ED"/>
    <outlinePr summaryBelow="1" summaryRight="1"/>
    <pageSetUpPr/>
  </sheetPr>
  <dimension ref="A1:I13"/>
  <sheetViews>
    <sheetView showGridLines="0" tabSelected="0" zoomScale="90" workbookViewId="0">
      <selection activeCell="A1" sqref="A1"/>
    </sheetView>
  </sheetViews>
  <sheetFormatPr baseColWidth="8" defaultRowHeight="15"/>
  <cols>
    <col width="30" customWidth="1" min="1" max="1"/>
    <col width="12" customWidth="1" min="2" max="2"/>
    <col width="50" customWidth="1" min="3" max="3"/>
    <col width="22" customWidth="1" min="5" max="5"/>
    <col width="14" customWidth="1" min="7" max="7"/>
  </cols>
  <sheetData>
    <row r="1">
      <c r="A1" s="95" t="inlineStr">
        <is>
          <t>Mix électrique</t>
        </is>
      </c>
      <c r="B1" s="95" t="inlineStr">
        <is>
          <t>gCO₂e/kWh</t>
        </is>
      </c>
      <c r="C1" s="95" t="inlineStr">
        <is>
          <t>Source</t>
        </is>
      </c>
      <c r="D1" s="95" t="n"/>
      <c r="E1" s="95" t="inlineStr">
        <is>
          <t>Source des facteurs</t>
        </is>
      </c>
      <c r="F1" s="95" t="inlineStr">
        <is>
          <t>Oui/Non</t>
        </is>
      </c>
      <c r="G1" s="95" t="inlineStr">
        <is>
          <t>Convention</t>
        </is>
      </c>
      <c r="H1" s="95" t="n"/>
      <c r="I1" s="95" t="inlineStr">
        <is>
          <t>Mois</t>
        </is>
      </c>
    </row>
    <row r="2">
      <c r="A2" t="inlineStr">
        <is>
          <t>France (2020, EEA)</t>
        </is>
      </c>
      <c r="B2" t="n">
        <v>51.1</v>
      </c>
      <c r="C2" t="inlineStr">
        <is>
          <t>EEA, défaut du Calculateur de Boris</t>
        </is>
      </c>
      <c r="E2" t="inlineStr">
        <is>
          <t>Table fournie</t>
        </is>
      </c>
      <c r="F2" t="inlineStr">
        <is>
          <t>Oui</t>
        </is>
      </c>
      <c r="G2" t="inlineStr">
        <is>
          <t>Inclusive</t>
        </is>
      </c>
      <c r="I2" t="inlineStr">
        <is>
          <t>janv.</t>
        </is>
      </c>
    </row>
    <row r="3">
      <c r="A3" t="inlineStr">
        <is>
          <t>Azure, datacenters USA (2023)</t>
        </is>
      </c>
      <c r="B3" t="n">
        <v>352.8</v>
      </c>
      <c r="C3" t="inlineStr">
        <is>
          <t>arXiv 2505.09598, repris dans le Calculateur de Boris</t>
        </is>
      </c>
      <c r="E3" t="inlineStr">
        <is>
          <t>Calculateur de Boris</t>
        </is>
      </c>
      <c r="F3" t="inlineStr">
        <is>
          <t>Non</t>
        </is>
      </c>
      <c r="G3" t="inlineStr">
        <is>
          <t>Mixte</t>
        </is>
      </c>
      <c r="I3" t="inlineStr">
        <is>
          <t>févr.</t>
        </is>
      </c>
    </row>
    <row r="4">
      <c r="A4" t="inlineStr">
        <is>
          <t>Union européenne (2025, IEA)</t>
        </is>
      </c>
      <c r="B4" t="n">
        <v>170</v>
      </c>
      <c r="C4" t="inlineStr">
        <is>
          <t>IEA, Electricity 2026, intensité CO₂ de la production</t>
        </is>
      </c>
      <c r="G4" t="inlineStr">
        <is>
          <t>Exclusive</t>
        </is>
      </c>
      <c r="I4" t="inlineStr">
        <is>
          <t>mars</t>
        </is>
      </c>
    </row>
    <row r="5">
      <c r="A5" t="inlineStr">
        <is>
          <t>Monde (2025, IEA)</t>
        </is>
      </c>
      <c r="B5" t="n">
        <v>435</v>
      </c>
      <c r="C5" t="inlineStr">
        <is>
          <t>IEA, Electricity 2026, intensité CO₂ de la production</t>
        </is>
      </c>
      <c r="I5" t="inlineStr">
        <is>
          <t>avr.</t>
        </is>
      </c>
    </row>
    <row r="6">
      <c r="A6" t="inlineStr">
        <is>
          <t>USA (2021, OWID)</t>
        </is>
      </c>
      <c r="B6" t="n">
        <v>379</v>
      </c>
      <c r="C6" t="inlineStr">
        <is>
          <t>Our World in Data (pas de valeur IEA publique)</t>
        </is>
      </c>
      <c r="I6" t="inlineStr">
        <is>
          <t>mai</t>
        </is>
      </c>
    </row>
    <row r="7">
      <c r="A7" t="inlineStr">
        <is>
          <t>Monde (EcoLogits)</t>
        </is>
      </c>
      <c r="B7" t="n">
        <v>590.478</v>
      </c>
      <c r="C7" t="inlineStr">
        <is>
          <t>Mix mondial EcoLogits, Calculateur de Boris</t>
        </is>
      </c>
      <c r="I7" t="inlineStr">
        <is>
          <t>juin</t>
        </is>
      </c>
    </row>
    <row r="8">
      <c r="A8" t="inlineStr">
        <is>
          <t>Personnalisé</t>
        </is>
      </c>
      <c r="C8" t="inlineStr">
        <is>
          <t>Valeur saisie dans Calcul</t>
        </is>
      </c>
      <c r="I8" t="inlineStr">
        <is>
          <t>juil.</t>
        </is>
      </c>
    </row>
    <row r="9">
      <c r="I9" t="inlineStr">
        <is>
          <t>août</t>
        </is>
      </c>
    </row>
    <row r="10">
      <c r="I10" t="inlineStr">
        <is>
          <t>sept.</t>
        </is>
      </c>
    </row>
    <row r="11">
      <c r="A11" s="14" t="inlineStr">
        <is>
          <t>Listes de choix utilisées par les menus déroulants. Ne pas modifier.</t>
        </is>
      </c>
      <c r="I11" t="inlineStr">
        <is>
          <t>oct.</t>
        </is>
      </c>
    </row>
    <row r="12">
      <c r="I12" t="inlineStr">
        <is>
          <t>nov.</t>
        </is>
      </c>
    </row>
    <row r="13">
      <c r="I13" t="inlineStr">
        <is>
          <t>déc.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2026-10-28T11:01:07Z</dcterms:created>
  <dcterms:modified xmlns:dcterms="http://purl.org/dc/terms/" xmlns:xsi="http://www.w3.org/2001/XMLSchema-instance" xsi:type="dcterms:W3CDTF">2026-10-28T11:01:07Z</dcterms:modified>
</cp:coreProperties>
</file>